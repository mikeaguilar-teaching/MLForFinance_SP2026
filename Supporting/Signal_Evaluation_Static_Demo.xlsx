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512a5f00cf9e63/Professional/MLFinance/LessonPlans/V7/Supporting/"/>
    </mc:Choice>
  </mc:AlternateContent>
  <xr:revisionPtr revIDLastSave="6" documentId="13_ncr:b_{8335CC8C-A8DC-4AA6-AAA0-7AAC9EEF8E8E}" xr6:coauthVersionLast="47" xr6:coauthVersionMax="47" xr10:uidLastSave="{2721EFC7-FE52-47C2-9BD4-EB431ADCC642}"/>
  <bookViews>
    <workbookView xWindow="-120" yWindow="-120" windowWidth="29040" windowHeight="15720" activeTab="1" xr2:uid="{8B008BCF-BF13-4D97-859E-E3E63FC70B57}"/>
  </bookViews>
  <sheets>
    <sheet name="Data" sheetId="10" r:id="rId1"/>
    <sheet name="Computations" sheetId="1" r:id="rId2"/>
    <sheet name="Signal-1" sheetId="4" r:id="rId3"/>
    <sheet name="Signal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K29" i="1"/>
  <c r="M10" i="1"/>
  <c r="L10" i="1" s="1"/>
  <c r="L25" i="1"/>
  <c r="L28" i="1"/>
  <c r="K28" i="1"/>
  <c r="K33" i="1" s="1"/>
  <c r="H237" i="1"/>
  <c r="G46" i="1"/>
  <c r="G47" i="1"/>
  <c r="G62" i="1"/>
  <c r="G75" i="1"/>
  <c r="G220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F47" i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H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2" i="1"/>
  <c r="G2" i="1" s="1"/>
  <c r="L5" i="1"/>
  <c r="L4" i="1" a="1"/>
  <c r="L4" i="1" s="1"/>
  <c r="L3" i="1" a="1"/>
  <c r="L3" i="1" s="1"/>
  <c r="L2" i="1" a="1"/>
  <c r="L2" i="1" s="1"/>
  <c r="M5" i="1"/>
  <c r="N5" i="1" s="1"/>
  <c r="M3" i="1"/>
  <c r="N3" i="1" s="1"/>
  <c r="M4" i="1"/>
  <c r="M2" i="1"/>
  <c r="K18" i="1" s="1"/>
  <c r="E3" i="1"/>
  <c r="H3" i="1" s="1"/>
  <c r="E4" i="1"/>
  <c r="E5" i="1"/>
  <c r="E6" i="1"/>
  <c r="E7" i="1"/>
  <c r="E8" i="1"/>
  <c r="E9" i="1"/>
  <c r="E10" i="1"/>
  <c r="E11" i="1"/>
  <c r="E12" i="1"/>
  <c r="E13" i="1"/>
  <c r="H13" i="1" s="1"/>
  <c r="E14" i="1"/>
  <c r="H14" i="1" s="1"/>
  <c r="E15" i="1"/>
  <c r="H15" i="1" s="1"/>
  <c r="E16" i="1"/>
  <c r="E17" i="1"/>
  <c r="H17" i="1" s="1"/>
  <c r="E18" i="1"/>
  <c r="H18" i="1" s="1"/>
  <c r="E19" i="1"/>
  <c r="H19" i="1" s="1"/>
  <c r="E20" i="1"/>
  <c r="E21" i="1"/>
  <c r="E22" i="1"/>
  <c r="E23" i="1"/>
  <c r="E24" i="1"/>
  <c r="E25" i="1"/>
  <c r="H25" i="1" s="1"/>
  <c r="E26" i="1"/>
  <c r="E27" i="1"/>
  <c r="E28" i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E37" i="1"/>
  <c r="E38" i="1"/>
  <c r="E39" i="1"/>
  <c r="E40" i="1"/>
  <c r="E41" i="1"/>
  <c r="H41" i="1" s="1"/>
  <c r="E42" i="1"/>
  <c r="E43" i="1"/>
  <c r="E44" i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E53" i="1"/>
  <c r="E54" i="1"/>
  <c r="E55" i="1"/>
  <c r="E56" i="1"/>
  <c r="E57" i="1"/>
  <c r="H57" i="1" s="1"/>
  <c r="E58" i="1"/>
  <c r="E59" i="1"/>
  <c r="E60" i="1"/>
  <c r="E61" i="1"/>
  <c r="H61" i="1" s="1"/>
  <c r="E62" i="1"/>
  <c r="E63" i="1"/>
  <c r="H63" i="1" s="1"/>
  <c r="E64" i="1"/>
  <c r="H64" i="1" s="1"/>
  <c r="E65" i="1"/>
  <c r="H65" i="1" s="1"/>
  <c r="E66" i="1"/>
  <c r="H66" i="1" s="1"/>
  <c r="E67" i="1"/>
  <c r="H67" i="1" s="1"/>
  <c r="E68" i="1"/>
  <c r="E69" i="1"/>
  <c r="E70" i="1"/>
  <c r="E71" i="1"/>
  <c r="E72" i="1"/>
  <c r="E73" i="1"/>
  <c r="H73" i="1" s="1"/>
  <c r="E74" i="1"/>
  <c r="E75" i="1"/>
  <c r="E76" i="1"/>
  <c r="E77" i="1"/>
  <c r="H77" i="1" s="1"/>
  <c r="E78" i="1"/>
  <c r="H78" i="1" s="1"/>
  <c r="E79" i="1"/>
  <c r="H79" i="1" s="1"/>
  <c r="E80" i="1"/>
  <c r="E81" i="1"/>
  <c r="H81" i="1" s="1"/>
  <c r="E82" i="1"/>
  <c r="H82" i="1" s="1"/>
  <c r="E83" i="1"/>
  <c r="H83" i="1" s="1"/>
  <c r="E84" i="1"/>
  <c r="E85" i="1"/>
  <c r="E86" i="1"/>
  <c r="E87" i="1"/>
  <c r="E88" i="1"/>
  <c r="E89" i="1"/>
  <c r="E90" i="1"/>
  <c r="E91" i="1"/>
  <c r="E92" i="1"/>
  <c r="E93" i="1"/>
  <c r="H93" i="1" s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E101" i="1"/>
  <c r="E102" i="1"/>
  <c r="E103" i="1"/>
  <c r="E104" i="1"/>
  <c r="E105" i="1"/>
  <c r="H105" i="1" s="1"/>
  <c r="E106" i="1"/>
  <c r="E107" i="1"/>
  <c r="E108" i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E117" i="1"/>
  <c r="E118" i="1"/>
  <c r="E119" i="1"/>
  <c r="E120" i="1"/>
  <c r="E121" i="1"/>
  <c r="H121" i="1" s="1"/>
  <c r="E122" i="1"/>
  <c r="E123" i="1"/>
  <c r="E124" i="1"/>
  <c r="E125" i="1"/>
  <c r="H125" i="1" s="1"/>
  <c r="E126" i="1"/>
  <c r="E127" i="1"/>
  <c r="E128" i="1"/>
  <c r="H128" i="1" s="1"/>
  <c r="E129" i="1"/>
  <c r="H129" i="1" s="1"/>
  <c r="E130" i="1"/>
  <c r="H130" i="1" s="1"/>
  <c r="E131" i="1"/>
  <c r="H131" i="1" s="1"/>
  <c r="E132" i="1"/>
  <c r="E133" i="1"/>
  <c r="E134" i="1"/>
  <c r="E135" i="1"/>
  <c r="E136" i="1"/>
  <c r="E137" i="1"/>
  <c r="E138" i="1"/>
  <c r="E139" i="1"/>
  <c r="E140" i="1"/>
  <c r="E141" i="1"/>
  <c r="H141" i="1" s="1"/>
  <c r="E142" i="1"/>
  <c r="H142" i="1" s="1"/>
  <c r="E143" i="1"/>
  <c r="H143" i="1" s="1"/>
  <c r="E144" i="1"/>
  <c r="E145" i="1"/>
  <c r="H145" i="1" s="1"/>
  <c r="E146" i="1"/>
  <c r="H146" i="1" s="1"/>
  <c r="E147" i="1"/>
  <c r="H147" i="1" s="1"/>
  <c r="E148" i="1"/>
  <c r="E149" i="1"/>
  <c r="E150" i="1"/>
  <c r="E151" i="1"/>
  <c r="E152" i="1"/>
  <c r="E153" i="1"/>
  <c r="H153" i="1" s="1"/>
  <c r="E154" i="1"/>
  <c r="E155" i="1"/>
  <c r="H155" i="1" s="1"/>
  <c r="E156" i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E165" i="1"/>
  <c r="E166" i="1"/>
  <c r="E167" i="1"/>
  <c r="E168" i="1"/>
  <c r="E169" i="1"/>
  <c r="H169" i="1" s="1"/>
  <c r="E170" i="1"/>
  <c r="E171" i="1"/>
  <c r="E172" i="1"/>
  <c r="E173" i="1"/>
  <c r="H173" i="1" s="1"/>
  <c r="E174" i="1"/>
  <c r="E175" i="1"/>
  <c r="E176" i="1"/>
  <c r="H176" i="1" s="1"/>
  <c r="E177" i="1"/>
  <c r="H177" i="1" s="1"/>
  <c r="E178" i="1"/>
  <c r="H178" i="1" s="1"/>
  <c r="E179" i="1"/>
  <c r="H179" i="1" s="1"/>
  <c r="E180" i="1"/>
  <c r="E181" i="1"/>
  <c r="E182" i="1"/>
  <c r="E183" i="1"/>
  <c r="E184" i="1"/>
  <c r="E185" i="1"/>
  <c r="H185" i="1" s="1"/>
  <c r="E186" i="1"/>
  <c r="E187" i="1"/>
  <c r="H187" i="1" s="1"/>
  <c r="E188" i="1"/>
  <c r="E189" i="1"/>
  <c r="H189" i="1" s="1"/>
  <c r="E190" i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E197" i="1"/>
  <c r="E198" i="1"/>
  <c r="E199" i="1"/>
  <c r="E200" i="1"/>
  <c r="E201" i="1"/>
  <c r="H201" i="1" s="1"/>
  <c r="E202" i="1"/>
  <c r="E203" i="1"/>
  <c r="E204" i="1"/>
  <c r="E205" i="1"/>
  <c r="H205" i="1" s="1"/>
  <c r="E206" i="1"/>
  <c r="H206" i="1" s="1"/>
  <c r="E207" i="1"/>
  <c r="H207" i="1" s="1"/>
  <c r="E208" i="1"/>
  <c r="H208" i="1" s="1"/>
  <c r="E209" i="1"/>
  <c r="H209" i="1" s="1"/>
  <c r="E210" i="1"/>
  <c r="H210" i="1" s="1"/>
  <c r="E211" i="1"/>
  <c r="H211" i="1" s="1"/>
  <c r="E212" i="1"/>
  <c r="E213" i="1"/>
  <c r="E214" i="1"/>
  <c r="E215" i="1"/>
  <c r="E216" i="1"/>
  <c r="E217" i="1"/>
  <c r="E218" i="1"/>
  <c r="E219" i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E229" i="1"/>
  <c r="E230" i="1"/>
  <c r="E231" i="1"/>
  <c r="E232" i="1"/>
  <c r="E233" i="1"/>
  <c r="H233" i="1" s="1"/>
  <c r="E234" i="1"/>
  <c r="E235" i="1"/>
  <c r="E236" i="1"/>
  <c r="E237" i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H244" i="1" s="1"/>
  <c r="E245" i="1"/>
  <c r="E246" i="1"/>
  <c r="E247" i="1"/>
  <c r="E248" i="1"/>
  <c r="E249" i="1"/>
  <c r="H249" i="1" s="1"/>
  <c r="E250" i="1"/>
  <c r="H250" i="1" s="1"/>
  <c r="E251" i="1"/>
  <c r="E252" i="1"/>
  <c r="E253" i="1"/>
  <c r="H253" i="1" s="1"/>
  <c r="E254" i="1"/>
  <c r="E255" i="1"/>
  <c r="E256" i="1"/>
  <c r="H256" i="1" s="1"/>
  <c r="E257" i="1"/>
  <c r="H257" i="1" s="1"/>
  <c r="E258" i="1"/>
  <c r="H258" i="1" s="1"/>
  <c r="E259" i="1"/>
  <c r="H259" i="1" s="1"/>
  <c r="E260" i="1"/>
  <c r="E261" i="1"/>
  <c r="E262" i="1"/>
  <c r="E263" i="1"/>
  <c r="E264" i="1"/>
  <c r="E265" i="1"/>
  <c r="E266" i="1"/>
  <c r="H266" i="1" s="1"/>
  <c r="E267" i="1"/>
  <c r="H267" i="1" s="1"/>
  <c r="E268" i="1"/>
  <c r="E269" i="1"/>
  <c r="H269" i="1" s="1"/>
  <c r="E270" i="1"/>
  <c r="H270" i="1" s="1"/>
  <c r="E271" i="1"/>
  <c r="H271" i="1" s="1"/>
  <c r="E272" i="1"/>
  <c r="E273" i="1"/>
  <c r="H273" i="1" s="1"/>
  <c r="E274" i="1"/>
  <c r="H274" i="1" s="1"/>
  <c r="E275" i="1"/>
  <c r="H275" i="1" s="1"/>
  <c r="E276" i="1"/>
  <c r="E277" i="1"/>
  <c r="E278" i="1"/>
  <c r="E279" i="1"/>
  <c r="E280" i="1"/>
  <c r="E281" i="1"/>
  <c r="H281" i="1" s="1"/>
  <c r="E282" i="1"/>
  <c r="H282" i="1" s="1"/>
  <c r="E283" i="1"/>
  <c r="H283" i="1" s="1"/>
  <c r="E284" i="1"/>
  <c r="E285" i="1"/>
  <c r="H285" i="1" s="1"/>
  <c r="E286" i="1"/>
  <c r="H286" i="1" s="1"/>
  <c r="E287" i="1"/>
  <c r="H287" i="1" s="1"/>
  <c r="E288" i="1"/>
  <c r="H288" i="1" s="1"/>
  <c r="E289" i="1"/>
  <c r="H289" i="1" s="1"/>
  <c r="E290" i="1"/>
  <c r="H290" i="1" s="1"/>
  <c r="E291" i="1"/>
  <c r="H291" i="1" s="1"/>
  <c r="E292" i="1"/>
  <c r="E293" i="1"/>
  <c r="E294" i="1"/>
  <c r="E295" i="1"/>
  <c r="E296" i="1"/>
  <c r="E297" i="1"/>
  <c r="H297" i="1" s="1"/>
  <c r="E298" i="1"/>
  <c r="H298" i="1" s="1"/>
  <c r="E299" i="1"/>
  <c r="E300" i="1"/>
  <c r="H300" i="1" s="1"/>
  <c r="E301" i="1"/>
  <c r="H301" i="1" s="1"/>
  <c r="E2" i="1"/>
  <c r="K5" i="1"/>
  <c r="K4" i="1"/>
  <c r="K3" i="1"/>
  <c r="K2" i="1"/>
  <c r="K10" i="1" s="1"/>
  <c r="K16" i="1"/>
  <c r="L16" i="1" s="1"/>
  <c r="M16" i="1" s="1"/>
  <c r="H174" i="1" l="1"/>
  <c r="H296" i="1"/>
  <c r="H248" i="1"/>
  <c r="H280" i="1"/>
  <c r="H232" i="1"/>
  <c r="H293" i="1"/>
  <c r="H277" i="1"/>
  <c r="H261" i="1"/>
  <c r="H245" i="1"/>
  <c r="H229" i="1"/>
  <c r="H213" i="1"/>
  <c r="H197" i="1"/>
  <c r="H181" i="1"/>
  <c r="H165" i="1"/>
  <c r="H149" i="1"/>
  <c r="H133" i="1"/>
  <c r="H117" i="1"/>
  <c r="H101" i="1"/>
  <c r="H85" i="1"/>
  <c r="H69" i="1"/>
  <c r="H53" i="1"/>
  <c r="H37" i="1"/>
  <c r="H21" i="1"/>
  <c r="H5" i="1"/>
  <c r="H292" i="1"/>
  <c r="H276" i="1"/>
  <c r="H260" i="1"/>
  <c r="H228" i="1"/>
  <c r="H212" i="1"/>
  <c r="H196" i="1"/>
  <c r="H180" i="1"/>
  <c r="H164" i="1"/>
  <c r="H148" i="1"/>
  <c r="H132" i="1"/>
  <c r="H116" i="1"/>
  <c r="H100" i="1"/>
  <c r="H84" i="1"/>
  <c r="H52" i="1"/>
  <c r="H36" i="1"/>
  <c r="H20" i="1"/>
  <c r="H4" i="1"/>
  <c r="N4" i="1"/>
  <c r="H92" i="1"/>
  <c r="H235" i="1"/>
  <c r="H139" i="1"/>
  <c r="H91" i="1"/>
  <c r="H59" i="1"/>
  <c r="H27" i="1"/>
  <c r="H11" i="1"/>
  <c r="H264" i="1"/>
  <c r="H295" i="1"/>
  <c r="H279" i="1"/>
  <c r="H263" i="1"/>
  <c r="H247" i="1"/>
  <c r="H231" i="1"/>
  <c r="H215" i="1"/>
  <c r="H199" i="1"/>
  <c r="H183" i="1"/>
  <c r="H167" i="1"/>
  <c r="H151" i="1"/>
  <c r="H135" i="1"/>
  <c r="H119" i="1"/>
  <c r="H103" i="1"/>
  <c r="H87" i="1"/>
  <c r="H71" i="1"/>
  <c r="H55" i="1"/>
  <c r="H39" i="1"/>
  <c r="H23" i="1"/>
  <c r="H7" i="1"/>
  <c r="H172" i="1"/>
  <c r="H44" i="1"/>
  <c r="K36" i="1"/>
  <c r="H80" i="1"/>
  <c r="H16" i="1"/>
  <c r="H272" i="1"/>
  <c r="H144" i="1"/>
  <c r="H255" i="1"/>
  <c r="H175" i="1"/>
  <c r="H127" i="1"/>
  <c r="H254" i="1"/>
  <c r="H126" i="1"/>
  <c r="H62" i="1"/>
  <c r="H299" i="1"/>
  <c r="H203" i="1"/>
  <c r="H171" i="1"/>
  <c r="H107" i="1"/>
  <c r="H75" i="1"/>
  <c r="H43" i="1"/>
  <c r="H284" i="1"/>
  <c r="H268" i="1"/>
  <c r="H252" i="1"/>
  <c r="H236" i="1"/>
  <c r="H204" i="1"/>
  <c r="H188" i="1"/>
  <c r="H156" i="1"/>
  <c r="H140" i="1"/>
  <c r="H124" i="1"/>
  <c r="H108" i="1"/>
  <c r="H76" i="1"/>
  <c r="H60" i="1"/>
  <c r="H28" i="1"/>
  <c r="H12" i="1"/>
  <c r="H251" i="1"/>
  <c r="H219" i="1"/>
  <c r="H123" i="1"/>
  <c r="H234" i="1"/>
  <c r="H218" i="1"/>
  <c r="H202" i="1"/>
  <c r="H186" i="1"/>
  <c r="H170" i="1"/>
  <c r="H154" i="1"/>
  <c r="H138" i="1"/>
  <c r="H122" i="1"/>
  <c r="H106" i="1"/>
  <c r="H90" i="1"/>
  <c r="H74" i="1"/>
  <c r="H58" i="1"/>
  <c r="H42" i="1"/>
  <c r="H26" i="1"/>
  <c r="H10" i="1"/>
  <c r="H265" i="1"/>
  <c r="H217" i="1"/>
  <c r="H137" i="1"/>
  <c r="H89" i="1"/>
  <c r="H9" i="1"/>
  <c r="H190" i="1"/>
  <c r="H216" i="1"/>
  <c r="H200" i="1"/>
  <c r="H184" i="1"/>
  <c r="H168" i="1"/>
  <c r="H152" i="1"/>
  <c r="H136" i="1"/>
  <c r="H120" i="1"/>
  <c r="H104" i="1"/>
  <c r="H88" i="1"/>
  <c r="H72" i="1"/>
  <c r="H56" i="1"/>
  <c r="H40" i="1"/>
  <c r="H24" i="1"/>
  <c r="H8" i="1"/>
  <c r="H294" i="1"/>
  <c r="H278" i="1"/>
  <c r="H262" i="1"/>
  <c r="H246" i="1"/>
  <c r="H230" i="1"/>
  <c r="H214" i="1"/>
  <c r="H198" i="1"/>
  <c r="H182" i="1"/>
  <c r="H166" i="1"/>
  <c r="H150" i="1"/>
  <c r="H134" i="1"/>
  <c r="H118" i="1"/>
  <c r="H102" i="1"/>
  <c r="H86" i="1"/>
  <c r="H70" i="1"/>
  <c r="H54" i="1"/>
  <c r="H38" i="1"/>
  <c r="H22" i="1"/>
  <c r="H6" i="1"/>
  <c r="N2" i="1"/>
  <c r="M6" i="1"/>
  <c r="N6" i="1" s="1"/>
  <c r="H2" i="1"/>
  <c r="K35" i="1"/>
  <c r="K31" i="1"/>
  <c r="K32" i="1"/>
  <c r="K34" i="1"/>
  <c r="K21" i="1"/>
  <c r="L21" i="1" s="1"/>
  <c r="M21" i="1" s="1"/>
  <c r="K6" i="1"/>
  <c r="L6" i="1" a="1"/>
  <c r="L6" i="1" s="1"/>
  <c r="K17" i="1" s="1"/>
  <c r="L17" i="1" s="1"/>
  <c r="M17" i="1" s="1"/>
  <c r="K22" i="1" l="1"/>
  <c r="L22" i="1" s="1"/>
  <c r="M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<sst xmlns="http://schemas.openxmlformats.org/spreadsheetml/2006/main" count="941" uniqueCount="335">
  <si>
    <t>ticker</t>
  </si>
  <si>
    <t>test_returns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</si>
  <si>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</si>
  <si>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</si>
  <si>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</si>
  <si>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</si>
  <si>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</si>
  <si>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</si>
  <si>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</si>
  <si>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</si>
  <si>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</si>
  <si>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</si>
  <si>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</si>
  <si>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</si>
  <si>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</si>
  <si>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</si>
  <si>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</si>
  <si>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</si>
  <si>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</si>
  <si>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</si>
  <si>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</si>
  <si>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</si>
  <si>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</si>
  <si>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</si>
  <si>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</si>
  <si>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</si>
  <si>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</si>
  <si>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</si>
  <si>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</si>
  <si>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</si>
  <si>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</si>
  <si>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</si>
  <si>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</si>
  <si>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</si>
  <si>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</si>
  <si>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</si>
  <si>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</si>
  <si>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</si>
  <si>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</si>
  <si>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</si>
  <si>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</si>
  <si>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</si>
  <si>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</si>
  <si>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</si>
  <si>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</si>
  <si>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</si>
  <si>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</si>
  <si>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</si>
  <si>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</si>
  <si>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</si>
  <si>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</si>
  <si>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</si>
  <si>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</si>
  <si>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</si>
  <si>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</si>
  <si>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</si>
  <si>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</si>
  <si>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</si>
  <si>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</si>
  <si>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</si>
  <si>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</si>
  <si>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</si>
  <si>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</si>
  <si>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</si>
  <si>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</si>
  <si>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</si>
  <si>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</si>
  <si>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</si>
  <si>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</si>
  <si>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</si>
  <si>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</si>
  <si>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</si>
  <si>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</si>
  <si>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</si>
  <si>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</si>
  <si>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</si>
  <si>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</si>
  <si>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</si>
  <si>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</si>
  <si>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</si>
  <si>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</si>
  <si>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</si>
  <si>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</si>
  <si>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</si>
  <si>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</si>
  <si>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</si>
  <si>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</si>
  <si>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</si>
  <si>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</si>
  <si>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</si>
  <si>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</si>
  <si>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</si>
  <si>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</si>
  <si>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</si>
  <si>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</si>
  <si>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</si>
  <si>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</si>
  <si>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</si>
  <si>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</si>
  <si>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</si>
  <si>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</si>
  <si>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</si>
  <si>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</si>
  <si>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</si>
  <si>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</si>
  <si>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</si>
  <si>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</si>
  <si>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</si>
  <si>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</si>
  <si>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</si>
  <si>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</si>
  <si>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</si>
  <si>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</si>
  <si>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</si>
  <si>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</si>
  <si>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</si>
  <si>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</si>
  <si>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</si>
  <si>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</si>
  <si>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</si>
  <si>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</si>
  <si>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</si>
  <si>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</si>
  <si>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</si>
  <si>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</si>
  <si>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</si>
  <si>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</si>
  <si>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</si>
  <si>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</si>
  <si>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</si>
  <si>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</si>
  <si>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</si>
  <si>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</si>
  <si>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</si>
  <si>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</si>
  <si>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</si>
  <si>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</si>
  <si>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</si>
  <si>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</si>
  <si>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</si>
  <si>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</si>
  <si>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</si>
  <si>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</si>
  <si>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</si>
  <si>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</si>
  <si>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</si>
  <si>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</si>
  <si>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</si>
  <si>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</si>
  <si>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</si>
  <si>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</si>
  <si>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</si>
  <si>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</si>
  <si>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</si>
  <si>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</si>
  <si>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</si>
  <si>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</si>
  <si>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</si>
  <si>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</si>
  <si>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</si>
  <si>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</si>
  <si>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</si>
  <si>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</si>
  <si>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</si>
  <si>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</si>
  <si>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</si>
  <si>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</si>
  <si>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</si>
  <si>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</si>
  <si>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</si>
  <si>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</si>
  <si>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</si>
  <si>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</si>
  <si>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</si>
  <si>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</si>
  <si>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</si>
  <si>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</si>
  <si>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</si>
  <si>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</si>
  <si>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</si>
  <si>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</si>
  <si>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</si>
  <si>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</si>
  <si>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</si>
  <si>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</si>
  <si>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</si>
  <si>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</si>
  <si>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</si>
  <si>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</si>
  <si>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</si>
  <si>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</si>
  <si>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</si>
  <si>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</si>
  <si>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</si>
  <si>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</si>
  <si>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</si>
  <si>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</si>
  <si>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</si>
  <si>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</si>
  <si>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</si>
  <si>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</si>
  <si>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</si>
  <si>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</si>
  <si>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</si>
  <si>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</si>
  <si>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</si>
  <si>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</si>
  <si>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</si>
  <si>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</si>
  <si>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</si>
  <si>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</si>
  <si>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</si>
  <si>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</si>
  <si>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</si>
  <si>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</si>
  <si>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</si>
  <si>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</si>
  <si>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</si>
  <si>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</si>
  <si>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</si>
  <si>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</si>
  <si>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</si>
  <si>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</si>
  <si>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</si>
  <si>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</si>
  <si>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</si>
  <si>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</si>
  <si>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</si>
  <si>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</si>
  <si>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</si>
  <si>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</si>
  <si>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</si>
  <si>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</si>
  <si>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</si>
  <si>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</si>
  <si>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</si>
  <si>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</si>
  <si>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</si>
  <si>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</si>
  <si>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</si>
  <si>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</si>
  <si>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</si>
  <si>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</si>
  <si>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</si>
  <si>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</si>
  <si>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</si>
  <si>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</si>
  <si>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</si>
  <si>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</si>
  <si>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</si>
  <si>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</si>
  <si>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</si>
  <si>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</si>
  <si>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</si>
  <si>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</si>
  <si>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</si>
  <si>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</si>
  <si>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</si>
  <si>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</si>
  <si>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</si>
  <si>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</si>
  <si>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</si>
  <si>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</si>
  <si>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</si>
  <si>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</si>
  <si>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</si>
  <si>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</si>
  <si>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</si>
  <si>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</si>
  <si>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</si>
  <si>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</si>
  <si>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</si>
  <si>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</si>
  <si>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</si>
  <si>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</si>
  <si>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</si>
  <si>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</si>
  <si>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</si>
  <si>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</si>
  <si>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</si>
  <si>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</si>
  <si>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</si>
  <si>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</si>
  <si>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</si>
  <si>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</si>
  <si>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</si>
  <si>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</si>
  <si>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</si>
  <si>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</si>
  <si>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</si>
  <si>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</si>
  <si>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</si>
  <si>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</si>
  <si>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</si>
  <si>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</si>
  <si>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</si>
  <si>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</si>
  <si>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</si>
  <si>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</si>
  <si>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</si>
  <si>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</si>
  <si>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</si>
  <si>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signal_position</t>
  </si>
  <si>
    <t>IC</t>
  </si>
  <si>
    <t>Avg Test Return</t>
  </si>
  <si>
    <t>Signal</t>
  </si>
  <si>
    <t>Sigma</t>
  </si>
  <si>
    <t>All</t>
  </si>
  <si>
    <t>Acted (-1 or 1)</t>
  </si>
  <si>
    <t>Acted</t>
  </si>
  <si>
    <t>Counts</t>
  </si>
  <si>
    <t>p</t>
  </si>
  <si>
    <t>Acted Only</t>
  </si>
  <si>
    <t>t stat</t>
  </si>
  <si>
    <t>p value</t>
  </si>
  <si>
    <t>Hit</t>
  </si>
  <si>
    <t>Ret * Signal</t>
  </si>
  <si>
    <t xml:space="preserve">Count Ret*Signal &gt;0 </t>
  </si>
  <si>
    <t>Acted * Count Ret*Signal&gt;0</t>
  </si>
  <si>
    <t>z</t>
  </si>
  <si>
    <t>Coverage</t>
  </si>
  <si>
    <t>s Train = +1</t>
  </si>
  <si>
    <t>s Train = -1 or 0</t>
  </si>
  <si>
    <t>Threshold</t>
  </si>
  <si>
    <t>r Test &gt; Threshold</t>
  </si>
  <si>
    <t>r test &lt; -Threshold</t>
  </si>
  <si>
    <t xml:space="preserve">Accuracy </t>
  </si>
  <si>
    <t>Precision</t>
  </si>
  <si>
    <t>Recall</t>
  </si>
  <si>
    <t xml:space="preserve">Specificity </t>
  </si>
  <si>
    <t>Type 1</t>
  </si>
  <si>
    <t>Type 2</t>
  </si>
  <si>
    <t>Long vs Short</t>
  </si>
  <si>
    <t>Diff of Means</t>
  </si>
  <si>
    <t xml:space="preserve">pval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</si>
</sst>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5641-868F-4521-B784-9A19C65513F2}">
  <dimension ref="A1:D301"/>
  <sheetViews>
    <sheetView workbookViewId="0">
      <selection activeCell="D11" sqref="D11"/>
    </sheetView>
  </sheetViews>
  <sheetFormatPr defaultRowHeight="15" x14ac:dyDescent="0.25"/>
  <cols>
    <col min="3" max="3" width="12.7109375" bestFit="1" customWidth="1"/>
    <col min="4" max="4" width="14.7109375" bestFit="1" customWidth="1"/>
  </cols>
  <sheetData>
    <row r="1" spans="1:4" x14ac:dyDescent="0.25">
      <c r="B1" t="s">
        <v>0</v>
      </c>
      <c r="C1" t="s">
        <v>1</v>
      </c>
      <c r="D1" t="s">
        <v>302</v>
      </c>
    </row>
    <row r="2" spans="1:4" x14ac:dyDescent="0.25">
      <c r="A2">
        <v>1</v>
      </c>
      <c r="B2" t="s">
        <v>2</v>
      </c>
      <c r="C2">
        <v>-4.1366865826661901E-2</v>
      </c>
      <c r="D2">
        <v>-1</v>
      </c>
    </row>
    <row r="3" spans="1:4" x14ac:dyDescent="0.25">
      <c r="A3">
        <v>2</v>
      </c>
      <c r="B3" t="s">
        <v>3</v>
      </c>
      <c r="C3">
        <v>-3.9936223305719901E-2</v>
      </c>
      <c r="D3">
        <v>-1</v>
      </c>
    </row>
    <row r="4" spans="1:4" x14ac:dyDescent="0.25">
      <c r="A4">
        <v>3</v>
      </c>
      <c r="B4" t="s">
        <v>4</v>
      </c>
      <c r="C4">
        <v>-3.1339852038853401E-2</v>
      </c>
      <c r="D4">
        <v>1</v>
      </c>
    </row>
    <row r="5" spans="1:4" x14ac:dyDescent="0.25">
      <c r="A5">
        <v>4</v>
      </c>
      <c r="B5" t="s">
        <v>5</v>
      </c>
      <c r="C5">
        <v>-5.1920580052691102E-2</v>
      </c>
      <c r="D5">
        <v>1</v>
      </c>
    </row>
    <row r="6" spans="1:4" x14ac:dyDescent="0.25">
      <c r="A6">
        <v>5</v>
      </c>
      <c r="B6" t="s">
        <v>6</v>
      </c>
      <c r="C6">
        <v>-2.05650993074105E-2</v>
      </c>
      <c r="D6">
        <v>1</v>
      </c>
    </row>
    <row r="7" spans="1:4" x14ac:dyDescent="0.25">
      <c r="A7">
        <v>6</v>
      </c>
      <c r="B7" t="s">
        <v>7</v>
      </c>
      <c r="C7">
        <v>3.3709608516781897E-2</v>
      </c>
      <c r="D7">
        <v>1</v>
      </c>
    </row>
    <row r="8" spans="1:4" x14ac:dyDescent="0.25">
      <c r="A8">
        <v>7</v>
      </c>
      <c r="B8" t="s">
        <v>8</v>
      </c>
      <c r="C8">
        <v>-9.6101362836143997E-2</v>
      </c>
      <c r="D8">
        <v>1</v>
      </c>
    </row>
    <row r="9" spans="1:4" x14ac:dyDescent="0.25">
      <c r="A9">
        <v>8</v>
      </c>
      <c r="B9" t="s">
        <v>9</v>
      </c>
      <c r="C9">
        <v>-2.0515906774507498E-3</v>
      </c>
      <c r="D9">
        <v>-1</v>
      </c>
    </row>
    <row r="10" spans="1:4" x14ac:dyDescent="0.25">
      <c r="A10">
        <v>9</v>
      </c>
      <c r="B10" t="s">
        <v>10</v>
      </c>
      <c r="C10">
        <v>5.4965223801893302E-2</v>
      </c>
      <c r="D10">
        <v>-1</v>
      </c>
    </row>
    <row r="11" spans="1:4" x14ac:dyDescent="0.25">
      <c r="A11">
        <v>10</v>
      </c>
      <c r="B11" t="s">
        <v>11</v>
      </c>
      <c r="C11">
        <v>9.7422081211022193E-2</v>
      </c>
      <c r="D11">
        <v>-1</v>
      </c>
    </row>
    <row r="12" spans="1:4" x14ac:dyDescent="0.25">
      <c r="A12">
        <v>11</v>
      </c>
      <c r="B12" t="s">
        <v>12</v>
      </c>
      <c r="C12">
        <v>7.7299617584423996E-2</v>
      </c>
      <c r="D12">
        <v>1</v>
      </c>
    </row>
    <row r="13" spans="1:4" x14ac:dyDescent="0.25">
      <c r="A13">
        <v>12</v>
      </c>
      <c r="B13" t="s">
        <v>13</v>
      </c>
      <c r="C13">
        <v>4.1436876460371697E-2</v>
      </c>
      <c r="D13">
        <v>1</v>
      </c>
    </row>
    <row r="14" spans="1:4" x14ac:dyDescent="0.25">
      <c r="A14">
        <v>13</v>
      </c>
      <c r="B14" t="s">
        <v>14</v>
      </c>
      <c r="C14">
        <v>-8.2328805449775999E-2</v>
      </c>
      <c r="D14">
        <v>1</v>
      </c>
    </row>
    <row r="15" spans="1:4" x14ac:dyDescent="0.25">
      <c r="A15">
        <v>14</v>
      </c>
      <c r="B15" t="s">
        <v>15</v>
      </c>
      <c r="C15">
        <v>-2.89685082408879E-2</v>
      </c>
      <c r="D15">
        <v>1</v>
      </c>
    </row>
    <row r="16" spans="1:4" x14ac:dyDescent="0.25">
      <c r="A16">
        <v>15</v>
      </c>
      <c r="B16" t="s">
        <v>16</v>
      </c>
      <c r="C16">
        <v>-2.31607341766716E-2</v>
      </c>
      <c r="D16">
        <v>-1</v>
      </c>
    </row>
    <row r="17" spans="1:4" x14ac:dyDescent="0.25">
      <c r="A17">
        <v>16</v>
      </c>
      <c r="B17" t="s">
        <v>17</v>
      </c>
      <c r="C17">
        <v>5.3045326505875498E-2</v>
      </c>
      <c r="D17">
        <v>1</v>
      </c>
    </row>
    <row r="18" spans="1:4" x14ac:dyDescent="0.25">
      <c r="A18">
        <v>17</v>
      </c>
      <c r="B18" t="s">
        <v>18</v>
      </c>
      <c r="C18">
        <v>-3.0506191789632999E-4</v>
      </c>
      <c r="D18">
        <v>1</v>
      </c>
    </row>
    <row r="19" spans="1:4" x14ac:dyDescent="0.25">
      <c r="A19">
        <v>18</v>
      </c>
      <c r="B19" t="s">
        <v>19</v>
      </c>
      <c r="C19">
        <v>-8.2598602969305004E-2</v>
      </c>
      <c r="D19">
        <v>-1</v>
      </c>
    </row>
    <row r="20" spans="1:4" x14ac:dyDescent="0.25">
      <c r="A20">
        <v>19</v>
      </c>
      <c r="B20" t="s">
        <v>20</v>
      </c>
      <c r="C20">
        <v>9.1235344420342604E-2</v>
      </c>
      <c r="D20">
        <v>1</v>
      </c>
    </row>
    <row r="21" spans="1:4" x14ac:dyDescent="0.25">
      <c r="A21">
        <v>20</v>
      </c>
      <c r="B21" t="s">
        <v>21</v>
      </c>
      <c r="C21">
        <v>4.0841650512518798E-2</v>
      </c>
      <c r="D21">
        <v>-1</v>
      </c>
    </row>
    <row r="22" spans="1:4" x14ac:dyDescent="0.25">
      <c r="A22">
        <v>21</v>
      </c>
      <c r="B22" t="s">
        <v>22</v>
      </c>
      <c r="C22">
        <v>1.19327656468284E-3</v>
      </c>
      <c r="D22">
        <v>-1</v>
      </c>
    </row>
    <row r="23" spans="1:4" x14ac:dyDescent="0.25">
      <c r="A23">
        <v>22</v>
      </c>
      <c r="B23" t="s">
        <v>23</v>
      </c>
      <c r="C23">
        <v>5.87256813697076E-2</v>
      </c>
      <c r="D23">
        <v>-1</v>
      </c>
    </row>
    <row r="24" spans="1:4" x14ac:dyDescent="0.25">
      <c r="A24">
        <v>23</v>
      </c>
      <c r="B24" t="s">
        <v>24</v>
      </c>
      <c r="C24">
        <v>-7.7198758844820997E-2</v>
      </c>
      <c r="D24">
        <v>-1</v>
      </c>
    </row>
    <row r="25" spans="1:4" x14ac:dyDescent="0.25">
      <c r="A25">
        <v>24</v>
      </c>
      <c r="B25" t="s">
        <v>25</v>
      </c>
      <c r="C25">
        <v>2.5752102596578601E-2</v>
      </c>
      <c r="D25">
        <v>-1</v>
      </c>
    </row>
    <row r="26" spans="1:4" x14ac:dyDescent="0.25">
      <c r="A26">
        <v>25</v>
      </c>
      <c r="B26" t="s">
        <v>26</v>
      </c>
      <c r="C26">
        <v>-3.2396011494163698E-2</v>
      </c>
      <c r="D26">
        <v>-1</v>
      </c>
    </row>
    <row r="27" spans="1:4" x14ac:dyDescent="0.25">
      <c r="A27">
        <v>26</v>
      </c>
      <c r="B27" t="s">
        <v>27</v>
      </c>
      <c r="C27">
        <v>1.7320342985111498E-2</v>
      </c>
      <c r="D27">
        <v>-1</v>
      </c>
    </row>
    <row r="28" spans="1:4" x14ac:dyDescent="0.25">
      <c r="A28">
        <v>27</v>
      </c>
      <c r="B28" t="s">
        <v>28</v>
      </c>
      <c r="C28">
        <v>5.3367727119415396E-3</v>
      </c>
      <c r="D28">
        <v>1</v>
      </c>
    </row>
    <row r="29" spans="1:4" x14ac:dyDescent="0.25">
      <c r="A29">
        <v>28</v>
      </c>
      <c r="B29" t="s">
        <v>29</v>
      </c>
      <c r="C29">
        <v>3.3181766829937703E-2</v>
      </c>
      <c r="D29">
        <v>1</v>
      </c>
    </row>
    <row r="30" spans="1:4" x14ac:dyDescent="0.25">
      <c r="A30">
        <v>29</v>
      </c>
      <c r="B30" t="s">
        <v>30</v>
      </c>
      <c r="C30">
        <v>5.5394511382850099E-2</v>
      </c>
      <c r="D30">
        <v>-1</v>
      </c>
    </row>
    <row r="31" spans="1:4" x14ac:dyDescent="0.25">
      <c r="A31">
        <v>30</v>
      </c>
      <c r="B31" t="s">
        <v>31</v>
      </c>
      <c r="C31">
        <v>1.29026537265442E-2</v>
      </c>
      <c r="D31">
        <v>1</v>
      </c>
    </row>
    <row r="32" spans="1:4" x14ac:dyDescent="0.25">
      <c r="A32">
        <v>31</v>
      </c>
      <c r="B32" t="s">
        <v>32</v>
      </c>
      <c r="C32">
        <v>5.5142574062372801E-2</v>
      </c>
      <c r="D32">
        <v>1</v>
      </c>
    </row>
    <row r="33" spans="1:4" x14ac:dyDescent="0.25">
      <c r="A33">
        <v>32</v>
      </c>
      <c r="B33" t="s">
        <v>33</v>
      </c>
      <c r="C33">
        <v>-6.2372416587321698E-2</v>
      </c>
      <c r="D33">
        <v>-1</v>
      </c>
    </row>
    <row r="34" spans="1:4" x14ac:dyDescent="0.25">
      <c r="A34">
        <v>33</v>
      </c>
      <c r="B34" t="s">
        <v>34</v>
      </c>
      <c r="C34">
        <v>-2.71289654113505E-2</v>
      </c>
      <c r="D34">
        <v>1</v>
      </c>
    </row>
    <row r="35" spans="1:4" x14ac:dyDescent="0.25">
      <c r="A35">
        <v>34</v>
      </c>
      <c r="B35" t="s">
        <v>35</v>
      </c>
      <c r="C35">
        <v>8.4742220444739294E-2</v>
      </c>
      <c r="D35">
        <v>1</v>
      </c>
    </row>
    <row r="36" spans="1:4" x14ac:dyDescent="0.25">
      <c r="A36">
        <v>35</v>
      </c>
      <c r="B36" t="s">
        <v>36</v>
      </c>
      <c r="C36">
        <v>2.70852094675713E-2</v>
      </c>
      <c r="D36">
        <v>1</v>
      </c>
    </row>
    <row r="37" spans="1:4" x14ac:dyDescent="0.25">
      <c r="A37">
        <v>36</v>
      </c>
      <c r="B37" t="s">
        <v>37</v>
      </c>
      <c r="C37">
        <v>-9.5724738480685606E-2</v>
      </c>
      <c r="D37">
        <v>1</v>
      </c>
    </row>
    <row r="38" spans="1:4" x14ac:dyDescent="0.25">
      <c r="A38">
        <v>37</v>
      </c>
      <c r="B38" t="s">
        <v>38</v>
      </c>
      <c r="C38">
        <v>-6.2662696068742904E-2</v>
      </c>
      <c r="D38">
        <v>1</v>
      </c>
    </row>
    <row r="39" spans="1:4" x14ac:dyDescent="0.25">
      <c r="A39">
        <v>38</v>
      </c>
      <c r="B39" t="s">
        <v>39</v>
      </c>
      <c r="C39">
        <v>-1.0658167885223301E-2</v>
      </c>
      <c r="D39">
        <v>-1</v>
      </c>
    </row>
    <row r="40" spans="1:4" x14ac:dyDescent="0.25">
      <c r="A40">
        <v>39</v>
      </c>
      <c r="B40" t="s">
        <v>40</v>
      </c>
      <c r="C40">
        <v>4.02293435793252E-2</v>
      </c>
      <c r="D40">
        <v>-1</v>
      </c>
    </row>
    <row r="41" spans="1:4" x14ac:dyDescent="0.25">
      <c r="A41">
        <v>40</v>
      </c>
      <c r="B41" t="s">
        <v>41</v>
      </c>
      <c r="C41">
        <v>-8.8988727958849503E-3</v>
      </c>
      <c r="D41">
        <v>-1</v>
      </c>
    </row>
    <row r="42" spans="1:4" x14ac:dyDescent="0.25">
      <c r="A42">
        <v>41</v>
      </c>
      <c r="B42" t="s">
        <v>42</v>
      </c>
      <c r="C42">
        <v>2.42623038118275E-2</v>
      </c>
      <c r="D42">
        <v>-1</v>
      </c>
    </row>
    <row r="43" spans="1:4" x14ac:dyDescent="0.25">
      <c r="A43">
        <v>42</v>
      </c>
      <c r="B43" t="s">
        <v>43</v>
      </c>
      <c r="C43">
        <v>4.5871096109195299E-2</v>
      </c>
      <c r="D43">
        <v>-1</v>
      </c>
    </row>
    <row r="44" spans="1:4" x14ac:dyDescent="0.25">
      <c r="A44">
        <v>43</v>
      </c>
      <c r="B44" t="s">
        <v>44</v>
      </c>
      <c r="C44">
        <v>7.0898777927464296E-2</v>
      </c>
      <c r="D44">
        <v>-1</v>
      </c>
    </row>
    <row r="45" spans="1:4" x14ac:dyDescent="0.25">
      <c r="A45">
        <v>44</v>
      </c>
      <c r="B45" t="s">
        <v>45</v>
      </c>
      <c r="C45">
        <v>2.4490396317133199E-2</v>
      </c>
      <c r="D45">
        <v>1</v>
      </c>
    </row>
    <row r="46" spans="1:4" x14ac:dyDescent="0.25">
      <c r="A46">
        <v>45</v>
      </c>
      <c r="B46" t="s">
        <v>46</v>
      </c>
      <c r="C46">
        <v>9.4805246740049601E-3</v>
      </c>
      <c r="D46">
        <v>1</v>
      </c>
    </row>
    <row r="47" spans="1:4" x14ac:dyDescent="0.25">
      <c r="A47">
        <v>46</v>
      </c>
      <c r="B47" t="s">
        <v>47</v>
      </c>
      <c r="C47">
        <v>-9.8892953789147003E-2</v>
      </c>
      <c r="D47">
        <v>-1</v>
      </c>
    </row>
    <row r="48" spans="1:4" x14ac:dyDescent="0.25">
      <c r="A48">
        <v>47</v>
      </c>
      <c r="B48" t="s">
        <v>48</v>
      </c>
      <c r="C48">
        <v>9.3753135140061501E-4</v>
      </c>
      <c r="D48">
        <v>-1</v>
      </c>
    </row>
    <row r="49" spans="1:4" x14ac:dyDescent="0.25">
      <c r="A49">
        <v>48</v>
      </c>
      <c r="B49" t="s">
        <v>49</v>
      </c>
      <c r="C49">
        <v>-3.3259056431010403E-2</v>
      </c>
      <c r="D49">
        <v>-1</v>
      </c>
    </row>
    <row r="50" spans="1:4" x14ac:dyDescent="0.25">
      <c r="A50">
        <v>49</v>
      </c>
      <c r="B50" t="s">
        <v>50</v>
      </c>
      <c r="C50">
        <v>-4.0900827956841398E-2</v>
      </c>
      <c r="D50">
        <v>1</v>
      </c>
    </row>
    <row r="51" spans="1:4" x14ac:dyDescent="0.25">
      <c r="A51">
        <v>50</v>
      </c>
      <c r="B51" t="s">
        <v>51</v>
      </c>
      <c r="C51">
        <v>-9.8290022170953104E-3</v>
      </c>
      <c r="D51">
        <v>-1</v>
      </c>
    </row>
    <row r="52" spans="1:4" x14ac:dyDescent="0.25">
      <c r="A52">
        <v>51</v>
      </c>
      <c r="B52" t="s">
        <v>52</v>
      </c>
      <c r="C52">
        <v>5.3280343777130403E-2</v>
      </c>
      <c r="D52">
        <v>1</v>
      </c>
    </row>
    <row r="53" spans="1:4" x14ac:dyDescent="0.25">
      <c r="A53">
        <v>52</v>
      </c>
      <c r="B53" t="s">
        <v>53</v>
      </c>
      <c r="C53">
        <v>-9.9922891987916193E-2</v>
      </c>
      <c r="D53">
        <v>0</v>
      </c>
    </row>
    <row r="54" spans="1:4" x14ac:dyDescent="0.25">
      <c r="A54">
        <v>53</v>
      </c>
      <c r="B54" t="s">
        <v>54</v>
      </c>
      <c r="C54">
        <v>-2.17926689331846E-2</v>
      </c>
      <c r="D54">
        <v>0</v>
      </c>
    </row>
    <row r="55" spans="1:4" x14ac:dyDescent="0.25">
      <c r="A55">
        <v>54</v>
      </c>
      <c r="B55" t="s">
        <v>55</v>
      </c>
      <c r="C55">
        <v>1.9517887019279902E-2</v>
      </c>
      <c r="D55">
        <v>1</v>
      </c>
    </row>
    <row r="56" spans="1:4" x14ac:dyDescent="0.25">
      <c r="A56">
        <v>55</v>
      </c>
      <c r="B56" t="s">
        <v>56</v>
      </c>
      <c r="C56">
        <v>-4.6918088359340297E-2</v>
      </c>
      <c r="D56">
        <v>-1</v>
      </c>
    </row>
    <row r="57" spans="1:4" x14ac:dyDescent="0.25">
      <c r="A57">
        <v>56</v>
      </c>
      <c r="B57" t="s">
        <v>57</v>
      </c>
      <c r="C57">
        <v>3.1859853169256699E-2</v>
      </c>
      <c r="D57">
        <v>1</v>
      </c>
    </row>
    <row r="58" spans="1:4" x14ac:dyDescent="0.25">
      <c r="A58">
        <v>57</v>
      </c>
      <c r="B58" t="s">
        <v>58</v>
      </c>
      <c r="C58">
        <v>5.0839679884843196E-3</v>
      </c>
      <c r="D58">
        <v>-1</v>
      </c>
    </row>
    <row r="59" spans="1:4" x14ac:dyDescent="0.25">
      <c r="A59">
        <v>58</v>
      </c>
      <c r="B59" t="s">
        <v>59</v>
      </c>
      <c r="C59">
        <v>4.1943295325611004E-3</v>
      </c>
      <c r="D59">
        <v>1</v>
      </c>
    </row>
    <row r="60" spans="1:4" x14ac:dyDescent="0.25">
      <c r="A60">
        <v>59</v>
      </c>
      <c r="B60" t="s">
        <v>60</v>
      </c>
      <c r="C60">
        <v>-0.122056367249555</v>
      </c>
      <c r="D60">
        <v>1</v>
      </c>
    </row>
    <row r="61" spans="1:4" x14ac:dyDescent="0.25">
      <c r="A61">
        <v>60</v>
      </c>
      <c r="B61" t="s">
        <v>61</v>
      </c>
      <c r="C61">
        <v>0.130732322980772</v>
      </c>
      <c r="D61">
        <v>1</v>
      </c>
    </row>
    <row r="62" spans="1:4" x14ac:dyDescent="0.25">
      <c r="A62">
        <v>61</v>
      </c>
      <c r="B62" t="s">
        <v>62</v>
      </c>
      <c r="C62">
        <v>-6.4685680458111501E-3</v>
      </c>
      <c r="D62">
        <v>1</v>
      </c>
    </row>
    <row r="63" spans="1:4" x14ac:dyDescent="0.25">
      <c r="A63">
        <v>62</v>
      </c>
      <c r="B63" t="s">
        <v>63</v>
      </c>
      <c r="C63">
        <v>2.7536429548290501E-2</v>
      </c>
      <c r="D63">
        <v>-1</v>
      </c>
    </row>
    <row r="64" spans="1:4" x14ac:dyDescent="0.25">
      <c r="A64">
        <v>63</v>
      </c>
      <c r="B64" t="s">
        <v>64</v>
      </c>
      <c r="C64">
        <v>1.03562507151332E-2</v>
      </c>
      <c r="D64">
        <v>-1</v>
      </c>
    </row>
    <row r="65" spans="1:4" x14ac:dyDescent="0.25">
      <c r="A65">
        <v>64</v>
      </c>
      <c r="B65" t="s">
        <v>65</v>
      </c>
      <c r="C65">
        <v>4.1047907909846602E-2</v>
      </c>
      <c r="D65">
        <v>-1</v>
      </c>
    </row>
    <row r="66" spans="1:4" x14ac:dyDescent="0.25">
      <c r="A66">
        <v>65</v>
      </c>
      <c r="B66" t="s">
        <v>66</v>
      </c>
      <c r="C66">
        <v>3.01650600539486E-2</v>
      </c>
      <c r="D66">
        <v>-1</v>
      </c>
    </row>
    <row r="67" spans="1:4" x14ac:dyDescent="0.25">
      <c r="A67">
        <v>66</v>
      </c>
      <c r="B67" t="s">
        <v>67</v>
      </c>
      <c r="C67">
        <v>-7.4543721473828498E-3</v>
      </c>
      <c r="D67">
        <v>1</v>
      </c>
    </row>
    <row r="68" spans="1:4" x14ac:dyDescent="0.25">
      <c r="A68">
        <v>67</v>
      </c>
      <c r="B68" t="s">
        <v>68</v>
      </c>
      <c r="C68">
        <v>2.33904863967196E-2</v>
      </c>
      <c r="D68">
        <v>1</v>
      </c>
    </row>
    <row r="69" spans="1:4" x14ac:dyDescent="0.25">
      <c r="A69">
        <v>68</v>
      </c>
      <c r="B69" t="s">
        <v>69</v>
      </c>
      <c r="C69">
        <v>-4.6740399288889602E-2</v>
      </c>
      <c r="D69">
        <v>1</v>
      </c>
    </row>
    <row r="70" spans="1:4" x14ac:dyDescent="0.25">
      <c r="A70">
        <v>69</v>
      </c>
      <c r="B70" t="s">
        <v>70</v>
      </c>
      <c r="C70">
        <v>5.2068825223763299E-2</v>
      </c>
      <c r="D70">
        <v>1</v>
      </c>
    </row>
    <row r="71" spans="1:4" x14ac:dyDescent="0.25">
      <c r="A71">
        <v>70</v>
      </c>
      <c r="B71" t="s">
        <v>71</v>
      </c>
      <c r="C71">
        <v>-2.55107008794626E-3</v>
      </c>
      <c r="D71">
        <v>1</v>
      </c>
    </row>
    <row r="72" spans="1:4" x14ac:dyDescent="0.25">
      <c r="A72">
        <v>71</v>
      </c>
      <c r="B72" t="s">
        <v>72</v>
      </c>
      <c r="C72">
        <v>0.11592835602884501</v>
      </c>
      <c r="D72">
        <v>-1</v>
      </c>
    </row>
    <row r="73" spans="1:4" x14ac:dyDescent="0.25">
      <c r="A73">
        <v>72</v>
      </c>
      <c r="B73" t="s">
        <v>73</v>
      </c>
      <c r="C73">
        <v>-0.105644133540818</v>
      </c>
      <c r="D73">
        <v>-1</v>
      </c>
    </row>
    <row r="74" spans="1:4" x14ac:dyDescent="0.25">
      <c r="A74">
        <v>73</v>
      </c>
      <c r="B74" t="s">
        <v>74</v>
      </c>
      <c r="C74">
        <v>-1.31419769036782E-2</v>
      </c>
      <c r="D74">
        <v>1</v>
      </c>
    </row>
    <row r="75" spans="1:4" x14ac:dyDescent="0.25">
      <c r="A75">
        <v>74</v>
      </c>
      <c r="B75" t="s">
        <v>75</v>
      </c>
      <c r="C75">
        <v>3.41769855121382E-2</v>
      </c>
      <c r="D75">
        <v>-1</v>
      </c>
    </row>
    <row r="76" spans="1:4" x14ac:dyDescent="0.25">
      <c r="A76">
        <v>75</v>
      </c>
      <c r="B76" t="s">
        <v>76</v>
      </c>
      <c r="C76">
        <v>1.86265411792596E-2</v>
      </c>
      <c r="D76">
        <v>-1</v>
      </c>
    </row>
    <row r="77" spans="1:4" x14ac:dyDescent="0.25">
      <c r="A77">
        <v>76</v>
      </c>
      <c r="B77" t="s">
        <v>77</v>
      </c>
      <c r="C77">
        <v>-1.9218338228783001E-2</v>
      </c>
      <c r="D77">
        <v>1</v>
      </c>
    </row>
    <row r="78" spans="1:4" x14ac:dyDescent="0.25">
      <c r="A78">
        <v>77</v>
      </c>
      <c r="B78" t="s">
        <v>78</v>
      </c>
      <c r="C78">
        <v>-5.2686767180886197E-2</v>
      </c>
      <c r="D78">
        <v>-1</v>
      </c>
    </row>
    <row r="79" spans="1:4" x14ac:dyDescent="0.25">
      <c r="A79">
        <v>78</v>
      </c>
      <c r="B79" t="s">
        <v>79</v>
      </c>
      <c r="C79">
        <v>-4.9833918870105199E-3</v>
      </c>
      <c r="D79">
        <v>-1</v>
      </c>
    </row>
    <row r="80" spans="1:4" x14ac:dyDescent="0.25">
      <c r="A80">
        <v>79</v>
      </c>
      <c r="B80" t="s">
        <v>80</v>
      </c>
      <c r="C80">
        <v>1.09766413914583E-3</v>
      </c>
      <c r="D80">
        <v>1</v>
      </c>
    </row>
    <row r="81" spans="1:4" x14ac:dyDescent="0.25">
      <c r="A81">
        <v>80</v>
      </c>
      <c r="B81" t="s">
        <v>81</v>
      </c>
      <c r="C81">
        <v>-9.0902975487593504E-2</v>
      </c>
      <c r="D81">
        <v>-1</v>
      </c>
    </row>
    <row r="82" spans="1:4" x14ac:dyDescent="0.25">
      <c r="A82">
        <v>81</v>
      </c>
      <c r="B82" t="s">
        <v>82</v>
      </c>
      <c r="C82">
        <v>1.7851952156914201E-3</v>
      </c>
      <c r="D82">
        <v>0</v>
      </c>
    </row>
    <row r="83" spans="1:4" x14ac:dyDescent="0.25">
      <c r="A83">
        <v>82</v>
      </c>
      <c r="B83" t="s">
        <v>83</v>
      </c>
      <c r="C83">
        <v>1.33643197958862E-2</v>
      </c>
      <c r="D83">
        <v>1</v>
      </c>
    </row>
    <row r="84" spans="1:4" x14ac:dyDescent="0.25">
      <c r="A84">
        <v>83</v>
      </c>
      <c r="B84" t="s">
        <v>84</v>
      </c>
      <c r="C84">
        <v>5.0297195311679796E-3</v>
      </c>
      <c r="D84">
        <v>-1</v>
      </c>
    </row>
    <row r="85" spans="1:4" x14ac:dyDescent="0.25">
      <c r="A85">
        <v>84</v>
      </c>
      <c r="B85" t="s">
        <v>85</v>
      </c>
      <c r="C85">
        <v>-4.6307086644945698E-2</v>
      </c>
      <c r="D85">
        <v>1</v>
      </c>
    </row>
    <row r="86" spans="1:4" x14ac:dyDescent="0.25">
      <c r="A86">
        <v>85</v>
      </c>
      <c r="B86" t="s">
        <v>86</v>
      </c>
      <c r="C86">
        <v>2.1601798296943898E-2</v>
      </c>
      <c r="D86">
        <v>-1</v>
      </c>
    </row>
    <row r="87" spans="1:4" x14ac:dyDescent="0.25">
      <c r="A87">
        <v>86</v>
      </c>
      <c r="B87" t="s">
        <v>87</v>
      </c>
      <c r="C87">
        <v>7.2246326487118998E-2</v>
      </c>
      <c r="D87">
        <v>1</v>
      </c>
    </row>
    <row r="88" spans="1:4" x14ac:dyDescent="0.25">
      <c r="A88">
        <v>87</v>
      </c>
      <c r="B88" t="s">
        <v>88</v>
      </c>
      <c r="C88">
        <v>3.37802102904841E-2</v>
      </c>
      <c r="D88">
        <v>1</v>
      </c>
    </row>
    <row r="89" spans="1:4" x14ac:dyDescent="0.25">
      <c r="A89">
        <v>88</v>
      </c>
      <c r="B89" t="s">
        <v>89</v>
      </c>
      <c r="C89">
        <v>-5.2427608610379102E-2</v>
      </c>
      <c r="D89">
        <v>1</v>
      </c>
    </row>
    <row r="90" spans="1:4" x14ac:dyDescent="0.25">
      <c r="A90">
        <v>89</v>
      </c>
      <c r="B90" t="s">
        <v>90</v>
      </c>
      <c r="C90">
        <v>-2.5041589339907501E-2</v>
      </c>
      <c r="D90">
        <v>-1</v>
      </c>
    </row>
    <row r="91" spans="1:4" x14ac:dyDescent="0.25">
      <c r="A91">
        <v>90</v>
      </c>
      <c r="B91" t="s">
        <v>91</v>
      </c>
      <c r="C91">
        <v>2.8793257162191301E-2</v>
      </c>
      <c r="D91">
        <v>1</v>
      </c>
    </row>
    <row r="92" spans="1:4" x14ac:dyDescent="0.25">
      <c r="A92">
        <v>91</v>
      </c>
      <c r="B92" t="s">
        <v>92</v>
      </c>
      <c r="C92">
        <v>-2.24172430062923E-2</v>
      </c>
      <c r="D92">
        <v>1</v>
      </c>
    </row>
    <row r="93" spans="1:4" x14ac:dyDescent="0.25">
      <c r="A93">
        <v>92</v>
      </c>
      <c r="B93" t="s">
        <v>93</v>
      </c>
      <c r="C93">
        <v>-0.10239834715568299</v>
      </c>
      <c r="D93">
        <v>1</v>
      </c>
    </row>
    <row r="94" spans="1:4" x14ac:dyDescent="0.25">
      <c r="A94">
        <v>93</v>
      </c>
      <c r="B94" t="s">
        <v>94</v>
      </c>
      <c r="C94">
        <v>4.6599858352524899E-2</v>
      </c>
      <c r="D94">
        <v>1</v>
      </c>
    </row>
    <row r="95" spans="1:4" x14ac:dyDescent="0.25">
      <c r="A95">
        <v>94</v>
      </c>
      <c r="B95" t="s">
        <v>95</v>
      </c>
      <c r="C95">
        <v>-4.7752941341619601E-2</v>
      </c>
      <c r="D95">
        <v>-1</v>
      </c>
    </row>
    <row r="96" spans="1:4" x14ac:dyDescent="0.25">
      <c r="A96">
        <v>95</v>
      </c>
      <c r="B96" t="s">
        <v>96</v>
      </c>
      <c r="C96">
        <v>-1.50714890531141E-2</v>
      </c>
      <c r="D96">
        <v>1</v>
      </c>
    </row>
    <row r="97" spans="1:4" x14ac:dyDescent="0.25">
      <c r="A97">
        <v>96</v>
      </c>
      <c r="B97" t="s">
        <v>97</v>
      </c>
      <c r="C97">
        <v>6.9192434578755499E-2</v>
      </c>
      <c r="D97">
        <v>-1</v>
      </c>
    </row>
    <row r="98" spans="1:4" x14ac:dyDescent="0.25">
      <c r="A98">
        <v>97</v>
      </c>
      <c r="B98" t="s">
        <v>98</v>
      </c>
      <c r="C98">
        <v>-1.6833916550104501E-2</v>
      </c>
      <c r="D98">
        <v>1</v>
      </c>
    </row>
    <row r="99" spans="1:4" x14ac:dyDescent="0.25">
      <c r="A99">
        <v>98</v>
      </c>
      <c r="B99" t="s">
        <v>99</v>
      </c>
      <c r="C99">
        <v>5.7612683271316703E-2</v>
      </c>
      <c r="D99">
        <v>1</v>
      </c>
    </row>
    <row r="100" spans="1:4" x14ac:dyDescent="0.25">
      <c r="A100">
        <v>99</v>
      </c>
      <c r="B100" t="s">
        <v>100</v>
      </c>
      <c r="C100">
        <v>-6.53911475319435E-2</v>
      </c>
      <c r="D100">
        <v>-1</v>
      </c>
    </row>
    <row r="101" spans="1:4" x14ac:dyDescent="0.25">
      <c r="A101">
        <v>100</v>
      </c>
      <c r="B101" t="s">
        <v>101</v>
      </c>
      <c r="C101">
        <v>-2.7991329156766699E-2</v>
      </c>
      <c r="D101">
        <v>-1</v>
      </c>
    </row>
    <row r="102" spans="1:4" x14ac:dyDescent="0.25">
      <c r="A102">
        <v>101</v>
      </c>
      <c r="B102" t="s">
        <v>102</v>
      </c>
      <c r="C102">
        <v>-1.0781866593816899E-2</v>
      </c>
      <c r="D102">
        <v>-1</v>
      </c>
    </row>
    <row r="103" spans="1:4" x14ac:dyDescent="0.25">
      <c r="A103">
        <v>102</v>
      </c>
      <c r="B103" t="s">
        <v>103</v>
      </c>
      <c r="C103">
        <v>-5.5863734129652502E-2</v>
      </c>
      <c r="D103">
        <v>1</v>
      </c>
    </row>
    <row r="104" spans="1:4" x14ac:dyDescent="0.25">
      <c r="A104">
        <v>103</v>
      </c>
      <c r="B104" t="s">
        <v>104</v>
      </c>
      <c r="C104">
        <v>-3.4204332030069201E-2</v>
      </c>
      <c r="D104">
        <v>-1</v>
      </c>
    </row>
    <row r="105" spans="1:4" x14ac:dyDescent="0.25">
      <c r="A105">
        <v>104</v>
      </c>
      <c r="B105" t="s">
        <v>105</v>
      </c>
      <c r="C105">
        <v>-4.9175036403930504E-3</v>
      </c>
      <c r="D105">
        <v>-1</v>
      </c>
    </row>
    <row r="106" spans="1:4" x14ac:dyDescent="0.25">
      <c r="A106">
        <v>105</v>
      </c>
      <c r="B106" t="s">
        <v>106</v>
      </c>
      <c r="C106">
        <v>2.4018612764046401E-2</v>
      </c>
      <c r="D106">
        <v>-1</v>
      </c>
    </row>
    <row r="107" spans="1:4" x14ac:dyDescent="0.25">
      <c r="A107">
        <v>106</v>
      </c>
      <c r="B107" t="s">
        <v>107</v>
      </c>
      <c r="C107">
        <v>-8.2977604419344694E-2</v>
      </c>
      <c r="D107">
        <v>0</v>
      </c>
    </row>
    <row r="108" spans="1:4" x14ac:dyDescent="0.25">
      <c r="A108">
        <v>107</v>
      </c>
      <c r="B108" t="s">
        <v>108</v>
      </c>
      <c r="C108">
        <v>-2.5336756655134199E-2</v>
      </c>
      <c r="D108">
        <v>-1</v>
      </c>
    </row>
    <row r="109" spans="1:4" x14ac:dyDescent="0.25">
      <c r="A109">
        <v>108</v>
      </c>
      <c r="B109" t="s">
        <v>109</v>
      </c>
      <c r="C109">
        <v>2.11409025613928E-2</v>
      </c>
      <c r="D109">
        <v>-1</v>
      </c>
    </row>
    <row r="110" spans="1:4" x14ac:dyDescent="0.25">
      <c r="A110">
        <v>109</v>
      </c>
      <c r="B110" t="s">
        <v>110</v>
      </c>
      <c r="C110">
        <v>-3.0742723201757201E-2</v>
      </c>
      <c r="D110">
        <v>-1</v>
      </c>
    </row>
    <row r="111" spans="1:4" x14ac:dyDescent="0.25">
      <c r="A111">
        <v>110</v>
      </c>
      <c r="B111" t="s">
        <v>111</v>
      </c>
      <c r="C111">
        <v>2.05545621742548E-2</v>
      </c>
      <c r="D111">
        <v>1</v>
      </c>
    </row>
    <row r="112" spans="1:4" x14ac:dyDescent="0.25">
      <c r="A112">
        <v>111</v>
      </c>
      <c r="B112" t="s">
        <v>112</v>
      </c>
      <c r="C112">
        <v>1.88579588771377E-2</v>
      </c>
      <c r="D112">
        <v>-1</v>
      </c>
    </row>
    <row r="113" spans="1:4" x14ac:dyDescent="0.25">
      <c r="A113">
        <v>112</v>
      </c>
      <c r="B113" t="s">
        <v>113</v>
      </c>
      <c r="C113">
        <v>1.94713939888345E-2</v>
      </c>
      <c r="D113">
        <v>1</v>
      </c>
    </row>
    <row r="114" spans="1:4" x14ac:dyDescent="0.25">
      <c r="A114">
        <v>113</v>
      </c>
      <c r="B114" t="s">
        <v>114</v>
      </c>
      <c r="C114">
        <v>1.64840568906774E-2</v>
      </c>
      <c r="D114">
        <v>-1</v>
      </c>
    </row>
    <row r="115" spans="1:4" x14ac:dyDescent="0.25">
      <c r="A115">
        <v>114</v>
      </c>
      <c r="B115" t="s">
        <v>115</v>
      </c>
      <c r="C115">
        <v>-6.6910527041143999E-3</v>
      </c>
      <c r="D115">
        <v>-1</v>
      </c>
    </row>
    <row r="116" spans="1:4" x14ac:dyDescent="0.25">
      <c r="A116">
        <v>115</v>
      </c>
      <c r="B116" t="s">
        <v>116</v>
      </c>
      <c r="C116">
        <v>-1.54897536401714E-2</v>
      </c>
      <c r="D116">
        <v>1</v>
      </c>
    </row>
    <row r="117" spans="1:4" x14ac:dyDescent="0.25">
      <c r="A117">
        <v>116</v>
      </c>
      <c r="B117" t="s">
        <v>117</v>
      </c>
      <c r="C117">
        <v>-0.12914591397978201</v>
      </c>
      <c r="D117">
        <v>1</v>
      </c>
    </row>
    <row r="118" spans="1:4" x14ac:dyDescent="0.25">
      <c r="A118">
        <v>117</v>
      </c>
      <c r="B118" t="s">
        <v>118</v>
      </c>
      <c r="C118">
        <v>-3.59028898248417E-3</v>
      </c>
      <c r="D118">
        <v>1</v>
      </c>
    </row>
    <row r="119" spans="1:4" x14ac:dyDescent="0.25">
      <c r="A119">
        <v>118</v>
      </c>
      <c r="B119" t="s">
        <v>119</v>
      </c>
      <c r="C119">
        <v>1.51071747349456E-2</v>
      </c>
      <c r="D119">
        <v>-1</v>
      </c>
    </row>
    <row r="120" spans="1:4" x14ac:dyDescent="0.25">
      <c r="A120">
        <v>119</v>
      </c>
      <c r="B120" t="s">
        <v>120</v>
      </c>
      <c r="C120">
        <v>1.8272898583071701E-2</v>
      </c>
      <c r="D120">
        <v>-1</v>
      </c>
    </row>
    <row r="121" spans="1:4" x14ac:dyDescent="0.25">
      <c r="A121">
        <v>120</v>
      </c>
      <c r="B121" t="s">
        <v>121</v>
      </c>
      <c r="C121">
        <v>-3.8005205471711698E-2</v>
      </c>
      <c r="D121">
        <v>-1</v>
      </c>
    </row>
    <row r="122" spans="1:4" x14ac:dyDescent="0.25">
      <c r="A122">
        <v>121</v>
      </c>
      <c r="B122" t="s">
        <v>122</v>
      </c>
      <c r="C122">
        <v>9.0151611459758696E-2</v>
      </c>
      <c r="D122">
        <v>1</v>
      </c>
    </row>
    <row r="123" spans="1:4" x14ac:dyDescent="0.25">
      <c r="A123">
        <v>122</v>
      </c>
      <c r="B123" t="s">
        <v>123</v>
      </c>
      <c r="C123">
        <v>4.84647483959321E-3</v>
      </c>
      <c r="D123">
        <v>-1</v>
      </c>
    </row>
    <row r="124" spans="1:4" x14ac:dyDescent="0.25">
      <c r="A124">
        <v>123</v>
      </c>
      <c r="B124" t="s">
        <v>124</v>
      </c>
      <c r="C124">
        <v>1.4102184859376E-3</v>
      </c>
      <c r="D124">
        <v>-1</v>
      </c>
    </row>
    <row r="125" spans="1:4" x14ac:dyDescent="0.25">
      <c r="A125">
        <v>124</v>
      </c>
      <c r="B125" t="s">
        <v>125</v>
      </c>
      <c r="C125">
        <v>6.10524170514435E-2</v>
      </c>
      <c r="D125">
        <v>-1</v>
      </c>
    </row>
    <row r="126" spans="1:4" x14ac:dyDescent="0.25">
      <c r="A126">
        <v>125</v>
      </c>
      <c r="B126" t="s">
        <v>126</v>
      </c>
      <c r="C126">
        <v>-1.7484691013640901E-2</v>
      </c>
      <c r="D126">
        <v>1</v>
      </c>
    </row>
    <row r="127" spans="1:4" x14ac:dyDescent="0.25">
      <c r="A127">
        <v>126</v>
      </c>
      <c r="B127" t="s">
        <v>127</v>
      </c>
      <c r="C127">
        <v>-2.90364302131902E-2</v>
      </c>
      <c r="D127">
        <v>-1</v>
      </c>
    </row>
    <row r="128" spans="1:4" x14ac:dyDescent="0.25">
      <c r="A128">
        <v>127</v>
      </c>
      <c r="B128" t="s">
        <v>128</v>
      </c>
      <c r="C128">
        <v>0.12222648972533701</v>
      </c>
      <c r="D128">
        <v>1</v>
      </c>
    </row>
    <row r="129" spans="1:4" x14ac:dyDescent="0.25">
      <c r="A129">
        <v>128</v>
      </c>
      <c r="B129" t="s">
        <v>129</v>
      </c>
      <c r="C129">
        <v>1.33606785668151E-3</v>
      </c>
      <c r="D129">
        <v>1</v>
      </c>
    </row>
    <row r="130" spans="1:4" x14ac:dyDescent="0.25">
      <c r="A130">
        <v>129</v>
      </c>
      <c r="B130" t="s">
        <v>130</v>
      </c>
      <c r="C130">
        <v>7.2059854729114095E-2</v>
      </c>
      <c r="D130">
        <v>-1</v>
      </c>
    </row>
    <row r="131" spans="1:4" x14ac:dyDescent="0.25">
      <c r="A131">
        <v>130</v>
      </c>
      <c r="B131" t="s">
        <v>131</v>
      </c>
      <c r="C131">
        <v>-7.2638413106962105E-2</v>
      </c>
      <c r="D131">
        <v>-1</v>
      </c>
    </row>
    <row r="132" spans="1:4" x14ac:dyDescent="0.25">
      <c r="A132">
        <v>131</v>
      </c>
      <c r="B132" t="s">
        <v>132</v>
      </c>
      <c r="C132">
        <v>4.9196684820884198E-3</v>
      </c>
      <c r="D132">
        <v>1</v>
      </c>
    </row>
    <row r="133" spans="1:4" x14ac:dyDescent="0.25">
      <c r="A133">
        <v>132</v>
      </c>
      <c r="B133" t="s">
        <v>133</v>
      </c>
      <c r="C133">
        <v>2.3436235712633698E-2</v>
      </c>
      <c r="D133">
        <v>1</v>
      </c>
    </row>
    <row r="134" spans="1:4" x14ac:dyDescent="0.25">
      <c r="A134">
        <v>133</v>
      </c>
      <c r="B134" t="s">
        <v>134</v>
      </c>
      <c r="C134">
        <v>1.54142564802193E-2</v>
      </c>
      <c r="D134">
        <v>0</v>
      </c>
    </row>
    <row r="135" spans="1:4" x14ac:dyDescent="0.25">
      <c r="A135">
        <v>134</v>
      </c>
      <c r="B135" t="s">
        <v>135</v>
      </c>
      <c r="C135">
        <v>-5.4506781298938101E-2</v>
      </c>
      <c r="D135">
        <v>-1</v>
      </c>
    </row>
    <row r="136" spans="1:4" x14ac:dyDescent="0.25">
      <c r="A136">
        <v>135</v>
      </c>
      <c r="B136" t="s">
        <v>136</v>
      </c>
      <c r="C136">
        <v>-1.9569508484136602E-2</v>
      </c>
      <c r="D136">
        <v>-1</v>
      </c>
    </row>
    <row r="137" spans="1:4" x14ac:dyDescent="0.25">
      <c r="A137">
        <v>136</v>
      </c>
      <c r="B137" t="s">
        <v>137</v>
      </c>
      <c r="C137">
        <v>-4.2557660521457298E-2</v>
      </c>
      <c r="D137">
        <v>1</v>
      </c>
    </row>
    <row r="138" spans="1:4" x14ac:dyDescent="0.25">
      <c r="A138">
        <v>137</v>
      </c>
      <c r="B138" t="s">
        <v>138</v>
      </c>
      <c r="C138">
        <v>2.10287655529659E-2</v>
      </c>
      <c r="D138">
        <v>-1</v>
      </c>
    </row>
    <row r="139" spans="1:4" x14ac:dyDescent="0.25">
      <c r="A139">
        <v>138</v>
      </c>
      <c r="B139" t="s">
        <v>139</v>
      </c>
      <c r="C139">
        <v>6.1638229601805601E-2</v>
      </c>
      <c r="D139">
        <v>1</v>
      </c>
    </row>
    <row r="140" spans="1:4" x14ac:dyDescent="0.25">
      <c r="A140">
        <v>139</v>
      </c>
      <c r="B140" t="s">
        <v>140</v>
      </c>
      <c r="C140">
        <v>-9.2158349132195796E-2</v>
      </c>
      <c r="D140">
        <v>1</v>
      </c>
    </row>
    <row r="141" spans="1:4" x14ac:dyDescent="0.25">
      <c r="A141">
        <v>140</v>
      </c>
      <c r="B141" t="s">
        <v>141</v>
      </c>
      <c r="C141">
        <v>4.7345741505289203E-2</v>
      </c>
      <c r="D141">
        <v>-1</v>
      </c>
    </row>
    <row r="142" spans="1:4" x14ac:dyDescent="0.25">
      <c r="A142">
        <v>141</v>
      </c>
      <c r="B142" t="s">
        <v>142</v>
      </c>
      <c r="C142">
        <v>-5.50343814866774E-2</v>
      </c>
      <c r="D142">
        <v>1</v>
      </c>
    </row>
    <row r="143" spans="1:4" x14ac:dyDescent="0.25">
      <c r="A143">
        <v>142</v>
      </c>
      <c r="B143" t="s">
        <v>143</v>
      </c>
      <c r="C143">
        <v>2.0116488555107E-2</v>
      </c>
      <c r="D143">
        <v>-1</v>
      </c>
    </row>
    <row r="144" spans="1:4" x14ac:dyDescent="0.25">
      <c r="A144">
        <v>143</v>
      </c>
      <c r="B144" t="s">
        <v>144</v>
      </c>
      <c r="C144">
        <v>1.7273690315675501E-2</v>
      </c>
      <c r="D144">
        <v>-1</v>
      </c>
    </row>
    <row r="145" spans="1:4" x14ac:dyDescent="0.25">
      <c r="A145">
        <v>144</v>
      </c>
      <c r="B145" t="s">
        <v>145</v>
      </c>
      <c r="C145">
        <v>-2.51411679428892E-2</v>
      </c>
      <c r="D145">
        <v>-1</v>
      </c>
    </row>
    <row r="146" spans="1:4" x14ac:dyDescent="0.25">
      <c r="A146">
        <v>145</v>
      </c>
      <c r="B146" t="s">
        <v>146</v>
      </c>
      <c r="C146">
        <v>-4.8271059578735502E-2</v>
      </c>
      <c r="D146">
        <v>-1</v>
      </c>
    </row>
    <row r="147" spans="1:4" x14ac:dyDescent="0.25">
      <c r="A147">
        <v>146</v>
      </c>
      <c r="B147" t="s">
        <v>147</v>
      </c>
      <c r="C147">
        <v>2.9569858403994801E-3</v>
      </c>
      <c r="D147">
        <v>-1</v>
      </c>
    </row>
    <row r="148" spans="1:4" x14ac:dyDescent="0.25">
      <c r="A148">
        <v>147</v>
      </c>
      <c r="B148" t="s">
        <v>148</v>
      </c>
      <c r="C148">
        <v>7.3233791857636897E-3</v>
      </c>
      <c r="D148">
        <v>-1</v>
      </c>
    </row>
    <row r="149" spans="1:4" x14ac:dyDescent="0.25">
      <c r="A149">
        <v>148</v>
      </c>
      <c r="B149" t="s">
        <v>149</v>
      </c>
      <c r="C149">
        <v>5.1044308727193503E-2</v>
      </c>
      <c r="D149">
        <v>1</v>
      </c>
    </row>
    <row r="150" spans="1:4" x14ac:dyDescent="0.25">
      <c r="A150">
        <v>149</v>
      </c>
      <c r="B150" t="s">
        <v>150</v>
      </c>
      <c r="C150">
        <v>-8.1615759789840897E-2</v>
      </c>
      <c r="D150">
        <v>1</v>
      </c>
    </row>
    <row r="151" spans="1:4" x14ac:dyDescent="0.25">
      <c r="A151">
        <v>150</v>
      </c>
      <c r="B151" t="s">
        <v>151</v>
      </c>
      <c r="C151">
        <v>-9.4689268163303003E-2</v>
      </c>
      <c r="D151">
        <v>-1</v>
      </c>
    </row>
    <row r="152" spans="1:4" x14ac:dyDescent="0.25">
      <c r="A152">
        <v>151</v>
      </c>
      <c r="B152" t="s">
        <v>152</v>
      </c>
      <c r="C152">
        <v>7.9397505534160903E-2</v>
      </c>
      <c r="D152">
        <v>1</v>
      </c>
    </row>
    <row r="153" spans="1:4" x14ac:dyDescent="0.25">
      <c r="A153">
        <v>152</v>
      </c>
      <c r="B153" t="s">
        <v>153</v>
      </c>
      <c r="C153">
        <v>6.0021864765586401E-2</v>
      </c>
      <c r="D153">
        <v>1</v>
      </c>
    </row>
    <row r="154" spans="1:4" x14ac:dyDescent="0.25">
      <c r="A154">
        <v>153</v>
      </c>
      <c r="B154" t="s">
        <v>154</v>
      </c>
      <c r="C154">
        <v>2.50864732348853E-2</v>
      </c>
      <c r="D154">
        <v>1</v>
      </c>
    </row>
    <row r="155" spans="1:4" x14ac:dyDescent="0.25">
      <c r="A155">
        <v>154</v>
      </c>
      <c r="B155" t="s">
        <v>155</v>
      </c>
      <c r="C155">
        <v>2.5675154272782899E-2</v>
      </c>
      <c r="D155">
        <v>-1</v>
      </c>
    </row>
    <row r="156" spans="1:4" x14ac:dyDescent="0.25">
      <c r="A156">
        <v>155</v>
      </c>
      <c r="B156" t="s">
        <v>156</v>
      </c>
      <c r="C156">
        <v>4.4664219815743603E-2</v>
      </c>
      <c r="D156">
        <v>-1</v>
      </c>
    </row>
    <row r="157" spans="1:4" x14ac:dyDescent="0.25">
      <c r="A157">
        <v>156</v>
      </c>
      <c r="B157" t="s">
        <v>157</v>
      </c>
      <c r="C157">
        <v>-0.13585009327498701</v>
      </c>
      <c r="D157">
        <v>-1</v>
      </c>
    </row>
    <row r="158" spans="1:4" x14ac:dyDescent="0.25">
      <c r="A158">
        <v>157</v>
      </c>
      <c r="B158" t="s">
        <v>158</v>
      </c>
      <c r="C158">
        <v>6.1143750164145798E-2</v>
      </c>
      <c r="D158">
        <v>1</v>
      </c>
    </row>
    <row r="159" spans="1:4" x14ac:dyDescent="0.25">
      <c r="A159">
        <v>158</v>
      </c>
      <c r="B159" t="s">
        <v>159</v>
      </c>
      <c r="C159">
        <v>-2.79737673891545E-2</v>
      </c>
      <c r="D159">
        <v>-1</v>
      </c>
    </row>
    <row r="160" spans="1:4" x14ac:dyDescent="0.25">
      <c r="A160">
        <v>159</v>
      </c>
      <c r="B160" t="s">
        <v>160</v>
      </c>
      <c r="C160">
        <v>2.1300575398416299E-2</v>
      </c>
      <c r="D160">
        <v>1</v>
      </c>
    </row>
    <row r="161" spans="1:4" x14ac:dyDescent="0.25">
      <c r="A161">
        <v>160</v>
      </c>
      <c r="B161" t="s">
        <v>161</v>
      </c>
      <c r="C161">
        <v>-1.8503698621848998E-2</v>
      </c>
      <c r="D161">
        <v>-1</v>
      </c>
    </row>
    <row r="162" spans="1:4" x14ac:dyDescent="0.25">
      <c r="A162">
        <v>161</v>
      </c>
      <c r="B162" t="s">
        <v>162</v>
      </c>
      <c r="C162">
        <v>5.4125362359730499E-2</v>
      </c>
      <c r="D162">
        <v>1</v>
      </c>
    </row>
    <row r="163" spans="1:4" x14ac:dyDescent="0.25">
      <c r="A163">
        <v>162</v>
      </c>
      <c r="B163" t="s">
        <v>163</v>
      </c>
      <c r="C163">
        <v>-2.7915392514441199E-2</v>
      </c>
      <c r="D163">
        <v>-1</v>
      </c>
    </row>
    <row r="164" spans="1:4" x14ac:dyDescent="0.25">
      <c r="A164">
        <v>163</v>
      </c>
      <c r="B164" t="s">
        <v>164</v>
      </c>
      <c r="C164">
        <v>1.33236358468313E-2</v>
      </c>
      <c r="D164">
        <v>-1</v>
      </c>
    </row>
    <row r="165" spans="1:4" x14ac:dyDescent="0.25">
      <c r="A165">
        <v>164</v>
      </c>
      <c r="B165" t="s">
        <v>165</v>
      </c>
      <c r="C165">
        <v>1.2876150417475101E-2</v>
      </c>
      <c r="D165">
        <v>1</v>
      </c>
    </row>
    <row r="166" spans="1:4" x14ac:dyDescent="0.25">
      <c r="A166">
        <v>165</v>
      </c>
      <c r="B166" t="s">
        <v>166</v>
      </c>
      <c r="C166">
        <v>-5.8807936336679599E-2</v>
      </c>
      <c r="D166">
        <v>-1</v>
      </c>
    </row>
    <row r="167" spans="1:4" x14ac:dyDescent="0.25">
      <c r="A167">
        <v>166</v>
      </c>
      <c r="B167" t="s">
        <v>167</v>
      </c>
      <c r="C167">
        <v>6.3482801437420397E-2</v>
      </c>
      <c r="D167">
        <v>1</v>
      </c>
    </row>
    <row r="168" spans="1:4" x14ac:dyDescent="0.25">
      <c r="A168">
        <v>167</v>
      </c>
      <c r="B168" t="s">
        <v>168</v>
      </c>
      <c r="C168">
        <v>4.3410697304052198E-2</v>
      </c>
      <c r="D168">
        <v>1</v>
      </c>
    </row>
    <row r="169" spans="1:4" x14ac:dyDescent="0.25">
      <c r="A169">
        <v>168</v>
      </c>
      <c r="B169" t="s">
        <v>169</v>
      </c>
      <c r="C169">
        <v>8.1375305700735201E-2</v>
      </c>
      <c r="D169">
        <v>-1</v>
      </c>
    </row>
    <row r="170" spans="1:4" x14ac:dyDescent="0.25">
      <c r="A170">
        <v>169</v>
      </c>
      <c r="B170" t="s">
        <v>170</v>
      </c>
      <c r="C170">
        <v>8.4263170721012495E-3</v>
      </c>
      <c r="D170">
        <v>1</v>
      </c>
    </row>
    <row r="171" spans="1:4" x14ac:dyDescent="0.25">
      <c r="A171">
        <v>170</v>
      </c>
      <c r="B171" t="s">
        <v>171</v>
      </c>
      <c r="C171">
        <v>5.9939782565259503E-2</v>
      </c>
      <c r="D171">
        <v>1</v>
      </c>
    </row>
    <row r="172" spans="1:4" x14ac:dyDescent="0.25">
      <c r="A172">
        <v>171</v>
      </c>
      <c r="B172" t="s">
        <v>172</v>
      </c>
      <c r="C172">
        <v>9.6617147624537006E-2</v>
      </c>
      <c r="D172">
        <v>-1</v>
      </c>
    </row>
    <row r="173" spans="1:4" x14ac:dyDescent="0.25">
      <c r="A173">
        <v>172</v>
      </c>
      <c r="B173" t="s">
        <v>173</v>
      </c>
      <c r="C173">
        <v>-1.34211754166952E-2</v>
      </c>
      <c r="D173">
        <v>1</v>
      </c>
    </row>
    <row r="174" spans="1:4" x14ac:dyDescent="0.25">
      <c r="A174">
        <v>173</v>
      </c>
      <c r="B174" t="s">
        <v>174</v>
      </c>
      <c r="C174">
        <v>-6.6488228175145395E-2</v>
      </c>
      <c r="D174">
        <v>0</v>
      </c>
    </row>
    <row r="175" spans="1:4" x14ac:dyDescent="0.25">
      <c r="A175">
        <v>174</v>
      </c>
      <c r="B175" t="s">
        <v>175</v>
      </c>
      <c r="C175">
        <v>9.3169406332560007E-3</v>
      </c>
      <c r="D175">
        <v>1</v>
      </c>
    </row>
    <row r="176" spans="1:4" x14ac:dyDescent="0.25">
      <c r="A176">
        <v>175</v>
      </c>
      <c r="B176" t="s">
        <v>176</v>
      </c>
      <c r="C176">
        <v>-1.8115422961997401E-2</v>
      </c>
      <c r="D176">
        <v>-1</v>
      </c>
    </row>
    <row r="177" spans="1:4" x14ac:dyDescent="0.25">
      <c r="A177">
        <v>176</v>
      </c>
      <c r="B177" t="s">
        <v>177</v>
      </c>
      <c r="C177">
        <v>-3.3759374452806499E-3</v>
      </c>
      <c r="D177">
        <v>-1</v>
      </c>
    </row>
    <row r="178" spans="1:4" x14ac:dyDescent="0.25">
      <c r="A178">
        <v>177</v>
      </c>
      <c r="B178" t="s">
        <v>178</v>
      </c>
      <c r="C178">
        <v>8.5993132857674903E-2</v>
      </c>
      <c r="D178">
        <v>0</v>
      </c>
    </row>
    <row r="179" spans="1:4" x14ac:dyDescent="0.25">
      <c r="A179">
        <v>178</v>
      </c>
      <c r="B179" t="s">
        <v>179</v>
      </c>
      <c r="C179">
        <v>-1.3202387130835999E-2</v>
      </c>
      <c r="D179">
        <v>1</v>
      </c>
    </row>
    <row r="180" spans="1:4" x14ac:dyDescent="0.25">
      <c r="A180">
        <v>179</v>
      </c>
      <c r="B180" t="s">
        <v>180</v>
      </c>
      <c r="C180">
        <v>2.3015467579347599E-2</v>
      </c>
      <c r="D180">
        <v>1</v>
      </c>
    </row>
    <row r="181" spans="1:4" x14ac:dyDescent="0.25">
      <c r="A181">
        <v>180</v>
      </c>
      <c r="B181" t="s">
        <v>181</v>
      </c>
      <c r="C181">
        <v>-1.5967856571887599E-2</v>
      </c>
      <c r="D181">
        <v>-1</v>
      </c>
    </row>
    <row r="182" spans="1:4" x14ac:dyDescent="0.25">
      <c r="A182">
        <v>181</v>
      </c>
      <c r="B182" t="s">
        <v>182</v>
      </c>
      <c r="C182">
        <v>-9.6107259134602802E-3</v>
      </c>
      <c r="D182">
        <v>-1</v>
      </c>
    </row>
    <row r="183" spans="1:4" x14ac:dyDescent="0.25">
      <c r="A183">
        <v>182</v>
      </c>
      <c r="B183" t="s">
        <v>183</v>
      </c>
      <c r="C183">
        <v>2.8334734936208E-2</v>
      </c>
      <c r="D183">
        <v>1</v>
      </c>
    </row>
    <row r="184" spans="1:4" x14ac:dyDescent="0.25">
      <c r="A184">
        <v>183</v>
      </c>
      <c r="B184" t="s">
        <v>184</v>
      </c>
      <c r="C184">
        <v>6.2914230922313796E-2</v>
      </c>
      <c r="D184">
        <v>-1</v>
      </c>
    </row>
    <row r="185" spans="1:4" x14ac:dyDescent="0.25">
      <c r="A185">
        <v>184</v>
      </c>
      <c r="B185" t="s">
        <v>185</v>
      </c>
      <c r="C185">
        <v>-2.58920975199484E-3</v>
      </c>
      <c r="D185">
        <v>-1</v>
      </c>
    </row>
    <row r="186" spans="1:4" x14ac:dyDescent="0.25">
      <c r="A186">
        <v>185</v>
      </c>
      <c r="B186" t="s">
        <v>186</v>
      </c>
      <c r="C186">
        <v>3.32793203121447E-2</v>
      </c>
      <c r="D186">
        <v>-1</v>
      </c>
    </row>
    <row r="187" spans="1:4" x14ac:dyDescent="0.25">
      <c r="A187">
        <v>186</v>
      </c>
      <c r="B187" t="s">
        <v>187</v>
      </c>
      <c r="C187">
        <v>3.6971242545691202E-2</v>
      </c>
      <c r="D187">
        <v>-1</v>
      </c>
    </row>
    <row r="188" spans="1:4" x14ac:dyDescent="0.25">
      <c r="A188">
        <v>187</v>
      </c>
      <c r="B188" t="s">
        <v>188</v>
      </c>
      <c r="C188">
        <v>5.6837866439918103E-2</v>
      </c>
      <c r="D188">
        <v>1</v>
      </c>
    </row>
    <row r="189" spans="1:4" x14ac:dyDescent="0.25">
      <c r="A189">
        <v>188</v>
      </c>
      <c r="B189" t="s">
        <v>189</v>
      </c>
      <c r="C189">
        <v>-2.7872354687247199E-2</v>
      </c>
      <c r="D189">
        <v>1</v>
      </c>
    </row>
    <row r="190" spans="1:4" x14ac:dyDescent="0.25">
      <c r="A190">
        <v>189</v>
      </c>
      <c r="B190" t="s">
        <v>190</v>
      </c>
      <c r="C190">
        <v>8.8884598561579098E-2</v>
      </c>
      <c r="D190">
        <v>1</v>
      </c>
    </row>
    <row r="191" spans="1:4" x14ac:dyDescent="0.25">
      <c r="A191">
        <v>190</v>
      </c>
      <c r="B191" t="s">
        <v>191</v>
      </c>
      <c r="C191">
        <v>-2.4040757136423299E-2</v>
      </c>
      <c r="D191">
        <v>-1</v>
      </c>
    </row>
    <row r="192" spans="1:4" x14ac:dyDescent="0.25">
      <c r="A192">
        <v>191</v>
      </c>
      <c r="B192" t="s">
        <v>192</v>
      </c>
      <c r="C192">
        <v>-3.1447552866715701E-3</v>
      </c>
      <c r="D192">
        <v>1</v>
      </c>
    </row>
    <row r="193" spans="1:4" x14ac:dyDescent="0.25">
      <c r="A193">
        <v>192</v>
      </c>
      <c r="B193" t="s">
        <v>193</v>
      </c>
      <c r="C193">
        <v>6.6955654270800205E-2</v>
      </c>
      <c r="D193">
        <v>-1</v>
      </c>
    </row>
    <row r="194" spans="1:4" x14ac:dyDescent="0.25">
      <c r="A194">
        <v>193</v>
      </c>
      <c r="B194" t="s">
        <v>194</v>
      </c>
      <c r="C194">
        <v>6.5650030589014696E-2</v>
      </c>
      <c r="D194">
        <v>1</v>
      </c>
    </row>
    <row r="195" spans="1:4" x14ac:dyDescent="0.25">
      <c r="A195">
        <v>194</v>
      </c>
      <c r="B195" t="s">
        <v>195</v>
      </c>
      <c r="C195">
        <v>-6.3453227200337303E-2</v>
      </c>
      <c r="D195">
        <v>-1</v>
      </c>
    </row>
    <row r="196" spans="1:4" x14ac:dyDescent="0.25">
      <c r="A196">
        <v>195</v>
      </c>
      <c r="B196" t="s">
        <v>196</v>
      </c>
      <c r="C196">
        <v>-5.6761565354152901E-2</v>
      </c>
      <c r="D196">
        <v>-1</v>
      </c>
    </row>
    <row r="197" spans="1:4" x14ac:dyDescent="0.25">
      <c r="A197">
        <v>196</v>
      </c>
      <c r="B197" t="s">
        <v>197</v>
      </c>
      <c r="C197">
        <v>-4.79318191210511E-2</v>
      </c>
      <c r="D197">
        <v>1</v>
      </c>
    </row>
    <row r="198" spans="1:4" x14ac:dyDescent="0.25">
      <c r="A198">
        <v>197</v>
      </c>
      <c r="B198" t="s">
        <v>198</v>
      </c>
      <c r="C198">
        <v>1.50994478677158E-2</v>
      </c>
      <c r="D198">
        <v>1</v>
      </c>
    </row>
    <row r="199" spans="1:4" x14ac:dyDescent="0.25">
      <c r="A199">
        <v>198</v>
      </c>
      <c r="B199" t="s">
        <v>199</v>
      </c>
      <c r="C199">
        <v>-4.27067022032614E-3</v>
      </c>
      <c r="D199">
        <v>-1</v>
      </c>
    </row>
    <row r="200" spans="1:4" x14ac:dyDescent="0.25">
      <c r="A200">
        <v>199</v>
      </c>
      <c r="B200" t="s">
        <v>200</v>
      </c>
      <c r="C200">
        <v>1.2094075200948899E-2</v>
      </c>
      <c r="D200">
        <v>-1</v>
      </c>
    </row>
    <row r="201" spans="1:4" x14ac:dyDescent="0.25">
      <c r="A201">
        <v>200</v>
      </c>
      <c r="B201" t="s">
        <v>201</v>
      </c>
      <c r="C201">
        <v>1.5753084864954799E-2</v>
      </c>
      <c r="D201">
        <v>-1</v>
      </c>
    </row>
    <row r="202" spans="1:4" x14ac:dyDescent="0.25">
      <c r="A202">
        <v>201</v>
      </c>
      <c r="B202" t="s">
        <v>202</v>
      </c>
      <c r="C202">
        <v>-8.1065388104136198E-3</v>
      </c>
      <c r="D202">
        <v>1</v>
      </c>
    </row>
    <row r="203" spans="1:4" x14ac:dyDescent="0.25">
      <c r="A203">
        <v>202</v>
      </c>
      <c r="B203" t="s">
        <v>203</v>
      </c>
      <c r="C203">
        <v>-3.6560799790600597E-2</v>
      </c>
      <c r="D203">
        <v>1</v>
      </c>
    </row>
    <row r="204" spans="1:4" x14ac:dyDescent="0.25">
      <c r="A204">
        <v>203</v>
      </c>
      <c r="B204" t="s">
        <v>204</v>
      </c>
      <c r="C204">
        <v>4.8687802236781701E-2</v>
      </c>
      <c r="D204">
        <v>-1</v>
      </c>
    </row>
    <row r="205" spans="1:4" x14ac:dyDescent="0.25">
      <c r="A205">
        <v>204</v>
      </c>
      <c r="B205" t="s">
        <v>205</v>
      </c>
      <c r="C205">
        <v>4.2985005722637103E-2</v>
      </c>
      <c r="D205">
        <v>1</v>
      </c>
    </row>
    <row r="206" spans="1:4" x14ac:dyDescent="0.25">
      <c r="A206">
        <v>205</v>
      </c>
      <c r="B206" t="s">
        <v>206</v>
      </c>
      <c r="C206">
        <v>-7.9601726345623694E-2</v>
      </c>
      <c r="D206">
        <v>-1</v>
      </c>
    </row>
    <row r="207" spans="1:4" x14ac:dyDescent="0.25">
      <c r="A207">
        <v>206</v>
      </c>
      <c r="B207" t="s">
        <v>207</v>
      </c>
      <c r="C207">
        <v>-9.5198414886201194E-3</v>
      </c>
      <c r="D207">
        <v>-1</v>
      </c>
    </row>
    <row r="208" spans="1:4" x14ac:dyDescent="0.25">
      <c r="A208">
        <v>207</v>
      </c>
      <c r="B208" t="s">
        <v>208</v>
      </c>
      <c r="C208">
        <v>-5.26834195163274E-2</v>
      </c>
      <c r="D208">
        <v>-1</v>
      </c>
    </row>
    <row r="209" spans="1:4" x14ac:dyDescent="0.25">
      <c r="A209">
        <v>208</v>
      </c>
      <c r="B209" t="s">
        <v>209</v>
      </c>
      <c r="C209">
        <v>-0.109483726201693</v>
      </c>
      <c r="D209">
        <v>-1</v>
      </c>
    </row>
    <row r="210" spans="1:4" x14ac:dyDescent="0.25">
      <c r="A210">
        <v>209</v>
      </c>
      <c r="B210" t="s">
        <v>210</v>
      </c>
      <c r="C210">
        <v>2.4015081232774099E-2</v>
      </c>
      <c r="D210">
        <v>1</v>
      </c>
    </row>
    <row r="211" spans="1:4" x14ac:dyDescent="0.25">
      <c r="A211">
        <v>210</v>
      </c>
      <c r="B211" t="s">
        <v>211</v>
      </c>
      <c r="C211">
        <v>-4.5008667137838203E-3</v>
      </c>
      <c r="D211">
        <v>-1</v>
      </c>
    </row>
    <row r="212" spans="1:4" x14ac:dyDescent="0.25">
      <c r="A212">
        <v>211</v>
      </c>
      <c r="B212" t="s">
        <v>212</v>
      </c>
      <c r="C212">
        <v>-3.6760110113782099E-3</v>
      </c>
      <c r="D212">
        <v>1</v>
      </c>
    </row>
    <row r="213" spans="1:4" x14ac:dyDescent="0.25">
      <c r="A213">
        <v>212</v>
      </c>
      <c r="B213" t="s">
        <v>213</v>
      </c>
      <c r="C213">
        <v>1.32445013860526E-2</v>
      </c>
      <c r="D213">
        <v>1</v>
      </c>
    </row>
    <row r="214" spans="1:4" x14ac:dyDescent="0.25">
      <c r="A214">
        <v>213</v>
      </c>
      <c r="B214" t="s">
        <v>214</v>
      </c>
      <c r="C214">
        <v>5.6448017004682702E-2</v>
      </c>
      <c r="D214">
        <v>1</v>
      </c>
    </row>
    <row r="215" spans="1:4" x14ac:dyDescent="0.25">
      <c r="A215">
        <v>214</v>
      </c>
      <c r="B215" t="s">
        <v>215</v>
      </c>
      <c r="C215">
        <v>5.1192369147215304E-3</v>
      </c>
      <c r="D215">
        <v>-1</v>
      </c>
    </row>
    <row r="216" spans="1:4" x14ac:dyDescent="0.25">
      <c r="A216">
        <v>215</v>
      </c>
      <c r="B216" t="s">
        <v>216</v>
      </c>
      <c r="C216">
        <v>-4.0746863647596797E-2</v>
      </c>
      <c r="D216">
        <v>-1</v>
      </c>
    </row>
    <row r="217" spans="1:4" x14ac:dyDescent="0.25">
      <c r="A217">
        <v>216</v>
      </c>
      <c r="B217" t="s">
        <v>217</v>
      </c>
      <c r="C217">
        <v>-1.99829932720322E-2</v>
      </c>
      <c r="D217">
        <v>1</v>
      </c>
    </row>
    <row r="218" spans="1:4" x14ac:dyDescent="0.25">
      <c r="A218">
        <v>217</v>
      </c>
      <c r="B218" t="s">
        <v>218</v>
      </c>
      <c r="C218">
        <v>-1.1001771821111899E-2</v>
      </c>
      <c r="D218">
        <v>-1</v>
      </c>
    </row>
    <row r="219" spans="1:4" x14ac:dyDescent="0.25">
      <c r="A219">
        <v>218</v>
      </c>
      <c r="B219" t="s">
        <v>219</v>
      </c>
      <c r="C219">
        <v>8.2701896295488495E-3</v>
      </c>
      <c r="D219">
        <v>-1</v>
      </c>
    </row>
    <row r="220" spans="1:4" x14ac:dyDescent="0.25">
      <c r="A220">
        <v>219</v>
      </c>
      <c r="B220" t="s">
        <v>220</v>
      </c>
      <c r="C220">
        <v>-6.4346748823934999E-2</v>
      </c>
      <c r="D220">
        <v>-1</v>
      </c>
    </row>
    <row r="221" spans="1:4" x14ac:dyDescent="0.25">
      <c r="A221">
        <v>220</v>
      </c>
      <c r="B221" t="s">
        <v>221</v>
      </c>
      <c r="C221">
        <v>-2.2062600665297201E-2</v>
      </c>
      <c r="D221">
        <v>-1</v>
      </c>
    </row>
    <row r="222" spans="1:4" x14ac:dyDescent="0.25">
      <c r="A222">
        <v>221</v>
      </c>
      <c r="B222" t="s">
        <v>222</v>
      </c>
      <c r="C222">
        <v>4.26236282154158E-2</v>
      </c>
      <c r="D222">
        <v>-1</v>
      </c>
    </row>
    <row r="223" spans="1:4" x14ac:dyDescent="0.25">
      <c r="A223">
        <v>222</v>
      </c>
      <c r="B223" t="s">
        <v>223</v>
      </c>
      <c r="C223">
        <v>7.6585360994097895E-4</v>
      </c>
      <c r="D223">
        <v>1</v>
      </c>
    </row>
    <row r="224" spans="1:4" x14ac:dyDescent="0.25">
      <c r="A224">
        <v>223</v>
      </c>
      <c r="B224" t="s">
        <v>224</v>
      </c>
      <c r="C224">
        <v>-2.3822551990422301E-2</v>
      </c>
      <c r="D224">
        <v>1</v>
      </c>
    </row>
    <row r="225" spans="1:4" x14ac:dyDescent="0.25">
      <c r="A225">
        <v>224</v>
      </c>
      <c r="B225" t="s">
        <v>225</v>
      </c>
      <c r="C225">
        <v>-6.7213748829211099E-3</v>
      </c>
      <c r="D225">
        <v>1</v>
      </c>
    </row>
    <row r="226" spans="1:4" x14ac:dyDescent="0.25">
      <c r="A226">
        <v>225</v>
      </c>
      <c r="B226" t="s">
        <v>226</v>
      </c>
      <c r="C226">
        <v>5.2095854297146499E-2</v>
      </c>
      <c r="D226">
        <v>-1</v>
      </c>
    </row>
    <row r="227" spans="1:4" x14ac:dyDescent="0.25">
      <c r="A227">
        <v>226</v>
      </c>
      <c r="B227" t="s">
        <v>227</v>
      </c>
      <c r="C227">
        <v>2.80996974345528E-2</v>
      </c>
      <c r="D227">
        <v>1</v>
      </c>
    </row>
    <row r="228" spans="1:4" x14ac:dyDescent="0.25">
      <c r="A228">
        <v>227</v>
      </c>
      <c r="B228" t="s">
        <v>228</v>
      </c>
      <c r="C228">
        <v>5.4787825367279601E-2</v>
      </c>
      <c r="D228">
        <v>-1</v>
      </c>
    </row>
    <row r="229" spans="1:4" x14ac:dyDescent="0.25">
      <c r="A229">
        <v>228</v>
      </c>
      <c r="B229" t="s">
        <v>229</v>
      </c>
      <c r="C229">
        <v>-2.1728875765154699E-4</v>
      </c>
      <c r="D229">
        <v>-1</v>
      </c>
    </row>
    <row r="230" spans="1:4" x14ac:dyDescent="0.25">
      <c r="A230">
        <v>229</v>
      </c>
      <c r="B230" t="s">
        <v>230</v>
      </c>
      <c r="C230">
        <v>2.9360259814290499E-2</v>
      </c>
      <c r="D230">
        <v>1</v>
      </c>
    </row>
    <row r="231" spans="1:4" x14ac:dyDescent="0.25">
      <c r="A231">
        <v>230</v>
      </c>
      <c r="B231" t="s">
        <v>231</v>
      </c>
      <c r="C231">
        <v>-3.8078771403442097E-2</v>
      </c>
      <c r="D231">
        <v>-1</v>
      </c>
    </row>
    <row r="232" spans="1:4" x14ac:dyDescent="0.25">
      <c r="A232">
        <v>231</v>
      </c>
      <c r="B232" t="s">
        <v>232</v>
      </c>
      <c r="C232">
        <v>4.9821473101441298E-2</v>
      </c>
      <c r="D232">
        <v>1</v>
      </c>
    </row>
    <row r="233" spans="1:4" x14ac:dyDescent="0.25">
      <c r="A233">
        <v>232</v>
      </c>
      <c r="B233" t="s">
        <v>233</v>
      </c>
      <c r="C233">
        <v>-2.6219873049120501E-2</v>
      </c>
      <c r="D233">
        <v>-1</v>
      </c>
    </row>
    <row r="234" spans="1:4" x14ac:dyDescent="0.25">
      <c r="A234">
        <v>233</v>
      </c>
      <c r="B234" t="s">
        <v>234</v>
      </c>
      <c r="C234">
        <v>-6.8882886968495094E-2</v>
      </c>
      <c r="D234">
        <v>1</v>
      </c>
    </row>
    <row r="235" spans="1:4" x14ac:dyDescent="0.25">
      <c r="A235">
        <v>234</v>
      </c>
      <c r="B235" t="s">
        <v>235</v>
      </c>
      <c r="C235">
        <v>-9.8562876318944491E-4</v>
      </c>
      <c r="D235">
        <v>-1</v>
      </c>
    </row>
    <row r="236" spans="1:4" x14ac:dyDescent="0.25">
      <c r="A236">
        <v>235</v>
      </c>
      <c r="B236" t="s">
        <v>236</v>
      </c>
      <c r="C236">
        <v>9.1548673988939094E-2</v>
      </c>
      <c r="D236">
        <v>-1</v>
      </c>
    </row>
    <row r="237" spans="1:4" x14ac:dyDescent="0.25">
      <c r="A237">
        <v>236</v>
      </c>
      <c r="B237" t="s">
        <v>237</v>
      </c>
      <c r="C237">
        <v>2.6875555655600701E-2</v>
      </c>
      <c r="D237">
        <v>-1</v>
      </c>
    </row>
    <row r="238" spans="1:4" x14ac:dyDescent="0.25">
      <c r="A238">
        <v>237</v>
      </c>
      <c r="B238" t="s">
        <v>238</v>
      </c>
      <c r="C238">
        <v>5.6433415613585697E-2</v>
      </c>
      <c r="D238">
        <v>-1</v>
      </c>
    </row>
    <row r="239" spans="1:4" x14ac:dyDescent="0.25">
      <c r="A239">
        <v>238</v>
      </c>
      <c r="B239" t="s">
        <v>239</v>
      </c>
      <c r="C239">
        <v>2.2132610203902201E-2</v>
      </c>
      <c r="D239">
        <v>1</v>
      </c>
    </row>
    <row r="240" spans="1:4" x14ac:dyDescent="0.25">
      <c r="A240">
        <v>239</v>
      </c>
      <c r="B240" t="s">
        <v>240</v>
      </c>
      <c r="C240">
        <v>-2.7184815474197401E-2</v>
      </c>
      <c r="D240">
        <v>1</v>
      </c>
    </row>
    <row r="241" spans="1:4" x14ac:dyDescent="0.25">
      <c r="A241">
        <v>240</v>
      </c>
      <c r="B241" t="s">
        <v>241</v>
      </c>
      <c r="C241">
        <v>-1.7927407626061698E-2</v>
      </c>
      <c r="D241">
        <v>-1</v>
      </c>
    </row>
    <row r="242" spans="1:4" x14ac:dyDescent="0.25">
      <c r="A242">
        <v>241</v>
      </c>
      <c r="B242" t="s">
        <v>242</v>
      </c>
      <c r="C242">
        <v>-2.1548625049136301E-2</v>
      </c>
      <c r="D242">
        <v>-1</v>
      </c>
    </row>
    <row r="243" spans="1:4" x14ac:dyDescent="0.25">
      <c r="A243">
        <v>242</v>
      </c>
      <c r="B243" t="s">
        <v>243</v>
      </c>
      <c r="C243">
        <v>-2.8456976172533E-2</v>
      </c>
      <c r="D243">
        <v>-1</v>
      </c>
    </row>
    <row r="244" spans="1:4" x14ac:dyDescent="0.25">
      <c r="A244">
        <v>243</v>
      </c>
      <c r="B244" t="s">
        <v>244</v>
      </c>
      <c r="C244">
        <v>5.0168970894949302E-2</v>
      </c>
      <c r="D244">
        <v>1</v>
      </c>
    </row>
    <row r="245" spans="1:4" x14ac:dyDescent="0.25">
      <c r="A245">
        <v>244</v>
      </c>
      <c r="B245" t="s">
        <v>245</v>
      </c>
      <c r="C245">
        <v>-7.1241211324928E-2</v>
      </c>
      <c r="D245">
        <v>-1</v>
      </c>
    </row>
    <row r="246" spans="1:4" x14ac:dyDescent="0.25">
      <c r="A246">
        <v>245</v>
      </c>
      <c r="B246" t="s">
        <v>246</v>
      </c>
      <c r="C246">
        <v>4.1527790661836698E-2</v>
      </c>
      <c r="D246">
        <v>-1</v>
      </c>
    </row>
    <row r="247" spans="1:4" x14ac:dyDescent="0.25">
      <c r="A247">
        <v>246</v>
      </c>
      <c r="B247" t="s">
        <v>247</v>
      </c>
      <c r="C247">
        <v>6.2231242528083902E-2</v>
      </c>
      <c r="D247">
        <v>1</v>
      </c>
    </row>
    <row r="248" spans="1:4" x14ac:dyDescent="0.25">
      <c r="A248">
        <v>247</v>
      </c>
      <c r="B248" t="s">
        <v>248</v>
      </c>
      <c r="C248">
        <v>-6.0940866806725502E-2</v>
      </c>
      <c r="D248">
        <v>-1</v>
      </c>
    </row>
    <row r="249" spans="1:4" x14ac:dyDescent="0.25">
      <c r="A249">
        <v>248</v>
      </c>
      <c r="B249" t="s">
        <v>249</v>
      </c>
      <c r="C249">
        <v>1.83761928568127E-2</v>
      </c>
      <c r="D249">
        <v>-1</v>
      </c>
    </row>
    <row r="250" spans="1:4" x14ac:dyDescent="0.25">
      <c r="A250">
        <v>249</v>
      </c>
      <c r="B250" t="s">
        <v>250</v>
      </c>
      <c r="C250">
        <v>0.11486363826448499</v>
      </c>
      <c r="D250">
        <v>-1</v>
      </c>
    </row>
    <row r="251" spans="1:4" x14ac:dyDescent="0.25">
      <c r="A251">
        <v>250</v>
      </c>
      <c r="B251" t="s">
        <v>251</v>
      </c>
      <c r="C251">
        <v>-2.3006174308031601E-2</v>
      </c>
      <c r="D251">
        <v>1</v>
      </c>
    </row>
    <row r="252" spans="1:4" x14ac:dyDescent="0.25">
      <c r="A252">
        <v>251</v>
      </c>
      <c r="B252" t="s">
        <v>252</v>
      </c>
      <c r="C252">
        <v>3.8489183353705901E-2</v>
      </c>
      <c r="D252">
        <v>-1</v>
      </c>
    </row>
    <row r="253" spans="1:4" x14ac:dyDescent="0.25">
      <c r="A253">
        <v>252</v>
      </c>
      <c r="B253" t="s">
        <v>253</v>
      </c>
      <c r="C253">
        <v>-4.4728855916467997E-2</v>
      </c>
      <c r="D253">
        <v>-1</v>
      </c>
    </row>
    <row r="254" spans="1:4" x14ac:dyDescent="0.25">
      <c r="A254">
        <v>253</v>
      </c>
      <c r="B254" t="s">
        <v>254</v>
      </c>
      <c r="C254">
        <v>5.20963985688555E-2</v>
      </c>
      <c r="D254">
        <v>-1</v>
      </c>
    </row>
    <row r="255" spans="1:4" x14ac:dyDescent="0.25">
      <c r="A255">
        <v>254</v>
      </c>
      <c r="B255" t="s">
        <v>255</v>
      </c>
      <c r="C255">
        <v>1.3396202467720299E-2</v>
      </c>
      <c r="D255">
        <v>1</v>
      </c>
    </row>
    <row r="256" spans="1:4" x14ac:dyDescent="0.25">
      <c r="A256">
        <v>255</v>
      </c>
      <c r="B256" t="s">
        <v>256</v>
      </c>
      <c r="C256">
        <v>9.8580857292616494E-2</v>
      </c>
      <c r="D256">
        <v>1</v>
      </c>
    </row>
    <row r="257" spans="1:4" x14ac:dyDescent="0.25">
      <c r="A257">
        <v>256</v>
      </c>
      <c r="B257" t="s">
        <v>257</v>
      </c>
      <c r="C257">
        <v>-7.3834187548234606E-2</v>
      </c>
      <c r="D257">
        <v>-1</v>
      </c>
    </row>
    <row r="258" spans="1:4" x14ac:dyDescent="0.25">
      <c r="A258">
        <v>257</v>
      </c>
      <c r="B258" t="s">
        <v>258</v>
      </c>
      <c r="C258">
        <v>8.2431006552471098E-3</v>
      </c>
      <c r="D258">
        <v>1</v>
      </c>
    </row>
    <row r="259" spans="1:4" x14ac:dyDescent="0.25">
      <c r="A259">
        <v>258</v>
      </c>
      <c r="B259" t="s">
        <v>259</v>
      </c>
      <c r="C259">
        <v>-2.0038717649774201E-2</v>
      </c>
      <c r="D259">
        <v>1</v>
      </c>
    </row>
    <row r="260" spans="1:4" x14ac:dyDescent="0.25">
      <c r="A260">
        <v>259</v>
      </c>
      <c r="B260" t="s">
        <v>260</v>
      </c>
      <c r="C260">
        <v>-1.09996424088764E-2</v>
      </c>
      <c r="D260">
        <v>-1</v>
      </c>
    </row>
    <row r="261" spans="1:4" x14ac:dyDescent="0.25">
      <c r="A261">
        <v>260</v>
      </c>
      <c r="B261" t="s">
        <v>261</v>
      </c>
      <c r="C261">
        <v>-4.6807957163206203E-2</v>
      </c>
      <c r="D261">
        <v>-1</v>
      </c>
    </row>
    <row r="262" spans="1:4" x14ac:dyDescent="0.25">
      <c r="A262">
        <v>261</v>
      </c>
      <c r="B262" t="s">
        <v>262</v>
      </c>
      <c r="C262">
        <v>-4.6903352202275199E-2</v>
      </c>
      <c r="D262">
        <v>-1</v>
      </c>
    </row>
    <row r="263" spans="1:4" x14ac:dyDescent="0.25">
      <c r="A263">
        <v>262</v>
      </c>
      <c r="B263" t="s">
        <v>263</v>
      </c>
      <c r="C263">
        <v>2.40374141994378E-2</v>
      </c>
      <c r="D263">
        <v>-1</v>
      </c>
    </row>
    <row r="264" spans="1:4" x14ac:dyDescent="0.25">
      <c r="A264">
        <v>263</v>
      </c>
      <c r="B264" t="s">
        <v>264</v>
      </c>
      <c r="C264">
        <v>-5.3907491376231097E-2</v>
      </c>
      <c r="D264">
        <v>0</v>
      </c>
    </row>
    <row r="265" spans="1:4" x14ac:dyDescent="0.25">
      <c r="A265">
        <v>264</v>
      </c>
      <c r="B265" t="s">
        <v>265</v>
      </c>
      <c r="C265">
        <v>8.7203533354482402E-2</v>
      </c>
      <c r="D265">
        <v>1</v>
      </c>
    </row>
    <row r="266" spans="1:4" x14ac:dyDescent="0.25">
      <c r="A266">
        <v>265</v>
      </c>
      <c r="B266" t="s">
        <v>266</v>
      </c>
      <c r="C266">
        <v>-3.6379539527376603E-2</v>
      </c>
      <c r="D266">
        <v>1</v>
      </c>
    </row>
    <row r="267" spans="1:4" x14ac:dyDescent="0.25">
      <c r="A267">
        <v>266</v>
      </c>
      <c r="B267" t="s">
        <v>267</v>
      </c>
      <c r="C267">
        <v>2.05297681596017E-2</v>
      </c>
      <c r="D267">
        <v>1</v>
      </c>
    </row>
    <row r="268" spans="1:4" x14ac:dyDescent="0.25">
      <c r="A268">
        <v>267</v>
      </c>
      <c r="B268" t="s">
        <v>268</v>
      </c>
      <c r="C268">
        <v>2.5317954698034599E-2</v>
      </c>
      <c r="D268">
        <v>-1</v>
      </c>
    </row>
    <row r="269" spans="1:4" x14ac:dyDescent="0.25">
      <c r="A269">
        <v>268</v>
      </c>
      <c r="B269" t="s">
        <v>269</v>
      </c>
      <c r="C269">
        <v>1.1771492999054899E-2</v>
      </c>
      <c r="D269">
        <v>-1</v>
      </c>
    </row>
    <row r="270" spans="1:4" x14ac:dyDescent="0.25">
      <c r="A270">
        <v>269</v>
      </c>
      <c r="B270" t="s">
        <v>270</v>
      </c>
      <c r="C270">
        <v>-1.8975131834036499E-2</v>
      </c>
      <c r="D270">
        <v>-1</v>
      </c>
    </row>
    <row r="271" spans="1:4" x14ac:dyDescent="0.25">
      <c r="A271">
        <v>270</v>
      </c>
      <c r="B271" t="s">
        <v>271</v>
      </c>
      <c r="C271">
        <v>4.8671719971529999E-3</v>
      </c>
      <c r="D271">
        <v>1</v>
      </c>
    </row>
    <row r="272" spans="1:4" x14ac:dyDescent="0.25">
      <c r="A272">
        <v>271</v>
      </c>
      <c r="B272" t="s">
        <v>272</v>
      </c>
      <c r="C272">
        <v>5.6513337631158199E-2</v>
      </c>
      <c r="D272">
        <v>1</v>
      </c>
    </row>
    <row r="273" spans="1:4" x14ac:dyDescent="0.25">
      <c r="A273">
        <v>272</v>
      </c>
      <c r="B273" t="s">
        <v>273</v>
      </c>
      <c r="C273">
        <v>-6.3198016168978605E-2</v>
      </c>
      <c r="D273">
        <v>1</v>
      </c>
    </row>
    <row r="274" spans="1:4" x14ac:dyDescent="0.25">
      <c r="A274">
        <v>273</v>
      </c>
      <c r="B274" t="s">
        <v>274</v>
      </c>
      <c r="C274">
        <v>-3.2243891282439499E-2</v>
      </c>
      <c r="D274">
        <v>1</v>
      </c>
    </row>
    <row r="275" spans="1:4" x14ac:dyDescent="0.25">
      <c r="A275">
        <v>274</v>
      </c>
      <c r="B275" t="s">
        <v>275</v>
      </c>
      <c r="C275">
        <v>2.0673722178358401E-3</v>
      </c>
      <c r="D275">
        <v>-1</v>
      </c>
    </row>
    <row r="276" spans="1:4" x14ac:dyDescent="0.25">
      <c r="A276">
        <v>275</v>
      </c>
      <c r="B276" t="s">
        <v>276</v>
      </c>
      <c r="C276">
        <v>-1.3742668460516E-2</v>
      </c>
      <c r="D276">
        <v>1</v>
      </c>
    </row>
    <row r="277" spans="1:4" x14ac:dyDescent="0.25">
      <c r="A277">
        <v>276</v>
      </c>
      <c r="B277" t="s">
        <v>277</v>
      </c>
      <c r="C277">
        <v>6.4034627534277799E-2</v>
      </c>
      <c r="D277">
        <v>-1</v>
      </c>
    </row>
    <row r="278" spans="1:4" x14ac:dyDescent="0.25">
      <c r="A278">
        <v>277</v>
      </c>
      <c r="B278" t="s">
        <v>278</v>
      </c>
      <c r="C278">
        <v>3.5410720169354301E-2</v>
      </c>
      <c r="D278">
        <v>1</v>
      </c>
    </row>
    <row r="279" spans="1:4" x14ac:dyDescent="0.25">
      <c r="A279">
        <v>278</v>
      </c>
      <c r="B279" t="s">
        <v>279</v>
      </c>
      <c r="C279">
        <v>4.35384939247514E-3</v>
      </c>
      <c r="D279">
        <v>1</v>
      </c>
    </row>
    <row r="280" spans="1:4" x14ac:dyDescent="0.25">
      <c r="A280">
        <v>279</v>
      </c>
      <c r="B280" t="s">
        <v>280</v>
      </c>
      <c r="C280">
        <v>-7.1106198227128894E-2</v>
      </c>
      <c r="D280">
        <v>1</v>
      </c>
    </row>
    <row r="281" spans="1:4" x14ac:dyDescent="0.25">
      <c r="A281">
        <v>280</v>
      </c>
      <c r="B281" t="s">
        <v>281</v>
      </c>
      <c r="C281">
        <v>1.5517610945734899E-3</v>
      </c>
      <c r="D281">
        <v>0</v>
      </c>
    </row>
    <row r="282" spans="1:4" x14ac:dyDescent="0.25">
      <c r="A282">
        <v>281</v>
      </c>
      <c r="B282" t="s">
        <v>282</v>
      </c>
      <c r="C282">
        <v>-3.2495544385706301E-2</v>
      </c>
      <c r="D282">
        <v>-1</v>
      </c>
    </row>
    <row r="283" spans="1:4" x14ac:dyDescent="0.25">
      <c r="A283">
        <v>282</v>
      </c>
      <c r="B283" t="s">
        <v>283</v>
      </c>
      <c r="C283">
        <v>2.24763397170453E-3</v>
      </c>
      <c r="D283">
        <v>1</v>
      </c>
    </row>
    <row r="284" spans="1:4" x14ac:dyDescent="0.25">
      <c r="A284">
        <v>283</v>
      </c>
      <c r="B284" t="s">
        <v>284</v>
      </c>
      <c r="C284">
        <v>-5.5217695669287498E-2</v>
      </c>
      <c r="D284">
        <v>1</v>
      </c>
    </row>
    <row r="285" spans="1:4" x14ac:dyDescent="0.25">
      <c r="A285">
        <v>284</v>
      </c>
      <c r="B285" t="s">
        <v>285</v>
      </c>
      <c r="C285">
        <v>2.2276385938714002E-2</v>
      </c>
      <c r="D285">
        <v>-1</v>
      </c>
    </row>
    <row r="286" spans="1:4" x14ac:dyDescent="0.25">
      <c r="A286">
        <v>285</v>
      </c>
      <c r="B286" t="s">
        <v>286</v>
      </c>
      <c r="C286">
        <v>-5.0766376904884801E-2</v>
      </c>
      <c r="D286">
        <v>1</v>
      </c>
    </row>
    <row r="287" spans="1:4" x14ac:dyDescent="0.25">
      <c r="A287">
        <v>286</v>
      </c>
      <c r="B287" t="s">
        <v>287</v>
      </c>
      <c r="C287">
        <v>-9.9707126184358508E-3</v>
      </c>
      <c r="D287">
        <v>1</v>
      </c>
    </row>
    <row r="288" spans="1:4" x14ac:dyDescent="0.25">
      <c r="A288">
        <v>287</v>
      </c>
      <c r="B288" t="s">
        <v>288</v>
      </c>
      <c r="C288">
        <v>2.1281486158177602E-2</v>
      </c>
      <c r="D288">
        <v>1</v>
      </c>
    </row>
    <row r="289" spans="1:4" x14ac:dyDescent="0.25">
      <c r="A289">
        <v>288</v>
      </c>
      <c r="B289" t="s">
        <v>289</v>
      </c>
      <c r="C289">
        <v>-2.2767327790877499E-2</v>
      </c>
      <c r="D289">
        <v>1</v>
      </c>
    </row>
    <row r="290" spans="1:4" x14ac:dyDescent="0.25">
      <c r="A290">
        <v>289</v>
      </c>
      <c r="B290" t="s">
        <v>290</v>
      </c>
      <c r="C290">
        <v>2.6959066494668501E-2</v>
      </c>
      <c r="D290">
        <v>-1</v>
      </c>
    </row>
    <row r="291" spans="1:4" x14ac:dyDescent="0.25">
      <c r="A291">
        <v>290</v>
      </c>
      <c r="B291" t="s">
        <v>291</v>
      </c>
      <c r="C291">
        <v>-6.4144866243738094E-2</v>
      </c>
      <c r="D291">
        <v>1</v>
      </c>
    </row>
    <row r="292" spans="1:4" x14ac:dyDescent="0.25">
      <c r="A292">
        <v>291</v>
      </c>
      <c r="B292" t="s">
        <v>292</v>
      </c>
      <c r="C292">
        <v>-0.12880489521733601</v>
      </c>
      <c r="D292">
        <v>1</v>
      </c>
    </row>
    <row r="293" spans="1:4" x14ac:dyDescent="0.25">
      <c r="A293">
        <v>292</v>
      </c>
      <c r="B293" t="s">
        <v>293</v>
      </c>
      <c r="C293">
        <v>3.3790209773061797E-2</v>
      </c>
      <c r="D293">
        <v>1</v>
      </c>
    </row>
    <row r="294" spans="1:4" x14ac:dyDescent="0.25">
      <c r="A294">
        <v>293</v>
      </c>
      <c r="B294" t="s">
        <v>294</v>
      </c>
      <c r="C294">
        <v>5.3479622451853601E-2</v>
      </c>
      <c r="D294">
        <v>1</v>
      </c>
    </row>
    <row r="295" spans="1:4" x14ac:dyDescent="0.25">
      <c r="A295">
        <v>294</v>
      </c>
      <c r="B295" t="s">
        <v>295</v>
      </c>
      <c r="C295">
        <v>-2.00669511901648E-2</v>
      </c>
      <c r="D295">
        <v>-1</v>
      </c>
    </row>
    <row r="296" spans="1:4" x14ac:dyDescent="0.25">
      <c r="A296">
        <v>295</v>
      </c>
      <c r="B296" t="s">
        <v>296</v>
      </c>
      <c r="C296">
        <v>4.52311400325087E-2</v>
      </c>
      <c r="D296">
        <v>1</v>
      </c>
    </row>
    <row r="297" spans="1:4" x14ac:dyDescent="0.25">
      <c r="A297">
        <v>296</v>
      </c>
      <c r="B297" t="s">
        <v>297</v>
      </c>
      <c r="C297">
        <v>-5.7128817544881798E-2</v>
      </c>
      <c r="D297">
        <v>1</v>
      </c>
    </row>
    <row r="298" spans="1:4" x14ac:dyDescent="0.25">
      <c r="A298">
        <v>297</v>
      </c>
      <c r="B298" t="s">
        <v>298</v>
      </c>
      <c r="C298">
        <v>1.23110881057855E-2</v>
      </c>
      <c r="D298">
        <v>1</v>
      </c>
    </row>
    <row r="299" spans="1:4" x14ac:dyDescent="0.25">
      <c r="A299">
        <v>298</v>
      </c>
      <c r="B299" t="s">
        <v>299</v>
      </c>
      <c r="C299">
        <v>-0.11058494566233799</v>
      </c>
      <c r="D299">
        <v>-1</v>
      </c>
    </row>
    <row r="300" spans="1:4" x14ac:dyDescent="0.25">
      <c r="A300">
        <v>299</v>
      </c>
      <c r="B300" t="s">
        <v>300</v>
      </c>
      <c r="C300">
        <v>5.9268880435468498E-2</v>
      </c>
      <c r="D300">
        <v>0</v>
      </c>
    </row>
    <row r="301" spans="1:4" x14ac:dyDescent="0.25">
      <c r="A301">
        <v>300</v>
      </c>
      <c r="B301" t="s">
        <v>301</v>
      </c>
      <c r="C301">
        <v>0.10549468878685</v>
      </c>
      <c r="D3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171C-3FDA-4AA7-8321-43568A5E98AB}">
  <dimension ref="A1:N301"/>
  <sheetViews>
    <sheetView tabSelected="1" topLeftCell="A10" zoomScale="115" zoomScaleNormal="115" workbookViewId="0">
      <selection activeCell="L30" sqref="L30"/>
    </sheetView>
  </sheetViews>
  <sheetFormatPr defaultRowHeight="15" x14ac:dyDescent="0.25"/>
  <cols>
    <col min="4" max="4" width="14.7109375" bestFit="1" customWidth="1"/>
    <col min="5" max="5" width="5.85546875" bestFit="1" customWidth="1"/>
    <col min="6" max="6" width="14.7109375" customWidth="1"/>
    <col min="7" max="7" width="18.85546875" bestFit="1" customWidth="1"/>
    <col min="8" max="8" width="24.85546875" bestFit="1" customWidth="1"/>
    <col min="10" max="10" width="21.140625" style="2" bestFit="1" customWidth="1"/>
    <col min="11" max="11" width="14.28515625" bestFit="1" customWidth="1"/>
    <col min="12" max="12" width="15.28515625" customWidth="1"/>
    <col min="13" max="13" width="9.140625" style="2"/>
    <col min="18" max="18" width="10.5703125" bestFit="1" customWidth="1"/>
  </cols>
  <sheetData>
    <row r="1" spans="1:14" x14ac:dyDescent="0.25">
      <c r="B1" t="s">
        <v>0</v>
      </c>
      <c r="C1" t="s">
        <v>1</v>
      </c>
      <c r="D1" t="s">
        <v>302</v>
      </c>
      <c r="E1" t="s">
        <v>309</v>
      </c>
      <c r="F1" t="s">
        <v>316</v>
      </c>
      <c r="G1" t="s">
        <v>317</v>
      </c>
      <c r="H1" t="s">
        <v>318</v>
      </c>
      <c r="J1" s="2" t="s">
        <v>305</v>
      </c>
      <c r="K1" t="s">
        <v>304</v>
      </c>
      <c r="L1" t="s">
        <v>306</v>
      </c>
      <c r="M1" s="2" t="s">
        <v>310</v>
      </c>
      <c r="N1" t="s">
        <v>320</v>
      </c>
    </row>
    <row r="2" spans="1:14" x14ac:dyDescent="0.25">
      <c r="A2">
        <v>1</v>
      </c>
      <c r="B2" t="s">
        <v>2</v>
      </c>
      <c r="C2">
        <v>-4.1366865826661901E-2</v>
      </c>
      <c r="D2">
        <v>-1</v>
      </c>
      <c r="E2">
        <f>IF(OR(D2=1,D2=-1),1,0)</f>
        <v>1</v>
      </c>
      <c r="F2">
        <f>C2*D2</f>
        <v>4.1366865826661901E-2</v>
      </c>
      <c r="G2">
        <f>IF(F2&gt;0,1,0)</f>
        <v>1</v>
      </c>
      <c r="H2">
        <f>E2*G2</f>
        <v>1</v>
      </c>
      <c r="J2" s="2">
        <v>1</v>
      </c>
      <c r="K2">
        <f>AVERAGEIFS($C$2:$C$301,$D$2:$D$301,J2)</f>
        <v>5.801157038125635E-3</v>
      </c>
      <c r="L2" cm="1">
        <f t="array" ref="L2">_xlfn.STDEV.S(_xlfn._xlws.FILTER($C$2:$C$301,$D$2:$D$301=1))</f>
        <v>5.0923732791236499E-2</v>
      </c>
      <c r="M2" s="2">
        <f>COUNTIF($D$2:$D$301,J2)</f>
        <v>141</v>
      </c>
      <c r="N2">
        <f>M2/M5</f>
        <v>0.47</v>
      </c>
    </row>
    <row r="3" spans="1:14" x14ac:dyDescent="0.25">
      <c r="A3">
        <v>2</v>
      </c>
      <c r="B3" t="s">
        <v>3</v>
      </c>
      <c r="C3">
        <v>-3.9936223305719901E-2</v>
      </c>
      <c r="D3">
        <v>-1</v>
      </c>
      <c r="E3">
        <f t="shared" ref="E3:E66" si="0">IF(OR(D3=1,D3=-1),1,0)</f>
        <v>1</v>
      </c>
      <c r="F3">
        <f t="shared" ref="F3:F66" si="1">C3*D3</f>
        <v>3.9936223305719901E-2</v>
      </c>
      <c r="G3">
        <f t="shared" ref="G3:G66" si="2">IF(F3&gt;0,1,0)</f>
        <v>1</v>
      </c>
      <c r="H3">
        <f t="shared" ref="H3:H66" si="3">E3*G3</f>
        <v>1</v>
      </c>
      <c r="J3" s="2">
        <v>0</v>
      </c>
      <c r="K3">
        <f>AVERAGEIFS($C$2:$C$301,$D$2:$D$301,J3)</f>
        <v>-1.6107565880819436E-2</v>
      </c>
      <c r="L3" cm="1">
        <f t="array" ref="L3">_xlfn.STDEV.S(_xlfn._xlws.FILTER($C$2:$C$301,$D$2:$D$301=0))</f>
        <v>6.0761616354382958E-2</v>
      </c>
      <c r="M3" s="2">
        <f t="shared" ref="M3:M4" si="4">COUNTIF($D$2:$D$301,J3)</f>
        <v>10</v>
      </c>
      <c r="N3">
        <f>M3/M5</f>
        <v>3.3333333333333333E-2</v>
      </c>
    </row>
    <row r="4" spans="1:14" x14ac:dyDescent="0.25">
      <c r="A4">
        <v>3</v>
      </c>
      <c r="B4" t="s">
        <v>4</v>
      </c>
      <c r="C4">
        <v>-3.1339852038853401E-2</v>
      </c>
      <c r="D4">
        <v>1</v>
      </c>
      <c r="E4">
        <f t="shared" si="0"/>
        <v>1</v>
      </c>
      <c r="F4">
        <f t="shared" si="1"/>
        <v>-3.1339852038853401E-2</v>
      </c>
      <c r="G4">
        <f t="shared" si="2"/>
        <v>0</v>
      </c>
      <c r="H4">
        <f t="shared" si="3"/>
        <v>0</v>
      </c>
      <c r="J4" s="2">
        <v>-1</v>
      </c>
      <c r="K4">
        <f>AVERAGEIFS($C$2:$C$301,$D$2:$D$301,J4)</f>
        <v>-2.7981407180496243E-3</v>
      </c>
      <c r="L4" cm="1">
        <f t="array" ref="L4">_xlfn.STDEV.S(_xlfn._xlws.FILTER($C$2:$C$301,$D$2:$D$301=-1))</f>
        <v>4.7655676865802001E-2</v>
      </c>
      <c r="M4" s="2">
        <f t="shared" si="4"/>
        <v>149</v>
      </c>
      <c r="N4">
        <f>M4/M5</f>
        <v>0.49666666666666665</v>
      </c>
    </row>
    <row r="5" spans="1:14" x14ac:dyDescent="0.25">
      <c r="A5">
        <v>4</v>
      </c>
      <c r="B5" t="s">
        <v>5</v>
      </c>
      <c r="C5">
        <v>-5.1920580052691102E-2</v>
      </c>
      <c r="D5">
        <v>1</v>
      </c>
      <c r="E5">
        <f t="shared" si="0"/>
        <v>1</v>
      </c>
      <c r="F5">
        <f t="shared" si="1"/>
        <v>-5.1920580052691102E-2</v>
      </c>
      <c r="G5">
        <f t="shared" si="2"/>
        <v>0</v>
      </c>
      <c r="H5">
        <f t="shared" si="3"/>
        <v>0</v>
      </c>
      <c r="J5" s="2" t="s">
        <v>307</v>
      </c>
      <c r="K5">
        <f>AVERAGE(C2:C301)</f>
        <v>7.9988172192708778E-4</v>
      </c>
      <c r="L5">
        <f>_xlfn.STDEV.S(C2:C301)</f>
        <v>4.9772432756059623E-2</v>
      </c>
      <c r="M5" s="2">
        <f>COUNT(D2:D301)</f>
        <v>300</v>
      </c>
      <c r="N5">
        <f>M5/M5</f>
        <v>1</v>
      </c>
    </row>
    <row r="6" spans="1:14" x14ac:dyDescent="0.25">
      <c r="A6">
        <v>5</v>
      </c>
      <c r="B6" t="s">
        <v>6</v>
      </c>
      <c r="C6">
        <v>-2.05650993074105E-2</v>
      </c>
      <c r="D6">
        <v>1</v>
      </c>
      <c r="E6">
        <f t="shared" si="0"/>
        <v>1</v>
      </c>
      <c r="F6">
        <f t="shared" si="1"/>
        <v>-2.05650993074105E-2</v>
      </c>
      <c r="G6">
        <f t="shared" si="2"/>
        <v>0</v>
      </c>
      <c r="H6">
        <f t="shared" si="3"/>
        <v>0</v>
      </c>
      <c r="J6" s="2" t="s">
        <v>308</v>
      </c>
      <c r="K6">
        <f>AVERAGEIFS(C2:C301,E2:E301,1)</f>
        <v>1.3828971565045557E-3</v>
      </c>
      <c r="L6" cm="1">
        <f t="array" ref="L6">_xlfn.STDEV.S(_xlfn._xlws.FILTER(C2:C301,E2:E301=1))</f>
        <v>4.9374154685173366E-2</v>
      </c>
      <c r="M6" s="2">
        <f>COUNTIF(E2:E301,1)</f>
        <v>290</v>
      </c>
      <c r="N6">
        <f>M6/M5</f>
        <v>0.96666666666666667</v>
      </c>
    </row>
    <row r="7" spans="1:14" x14ac:dyDescent="0.25">
      <c r="A7">
        <v>6</v>
      </c>
      <c r="B7" t="s">
        <v>7</v>
      </c>
      <c r="C7">
        <v>3.3709608516781897E-2</v>
      </c>
      <c r="D7">
        <v>1</v>
      </c>
      <c r="E7">
        <f t="shared" si="0"/>
        <v>1</v>
      </c>
      <c r="F7">
        <f t="shared" si="1"/>
        <v>3.3709608516781897E-2</v>
      </c>
      <c r="G7">
        <f t="shared" si="2"/>
        <v>1</v>
      </c>
      <c r="H7">
        <f t="shared" si="3"/>
        <v>1</v>
      </c>
    </row>
    <row r="8" spans="1:14" x14ac:dyDescent="0.25">
      <c r="A8">
        <v>7</v>
      </c>
      <c r="B8" t="s">
        <v>8</v>
      </c>
      <c r="C8">
        <v>-9.6101362836143997E-2</v>
      </c>
      <c r="D8">
        <v>1</v>
      </c>
      <c r="E8">
        <f t="shared" si="0"/>
        <v>1</v>
      </c>
      <c r="F8">
        <f t="shared" si="1"/>
        <v>-9.6101362836143997E-2</v>
      </c>
      <c r="G8">
        <f t="shared" si="2"/>
        <v>0</v>
      </c>
      <c r="H8">
        <f t="shared" si="3"/>
        <v>0</v>
      </c>
    </row>
    <row r="9" spans="1:14" x14ac:dyDescent="0.25">
      <c r="A9">
        <v>8</v>
      </c>
      <c r="B9" t="s">
        <v>9</v>
      </c>
      <c r="C9">
        <v>-2.0515906774507498E-3</v>
      </c>
      <c r="D9">
        <v>-1</v>
      </c>
      <c r="E9">
        <f t="shared" si="0"/>
        <v>1</v>
      </c>
      <c r="F9">
        <f t="shared" si="1"/>
        <v>2.0515906774507498E-3</v>
      </c>
      <c r="G9">
        <f t="shared" si="2"/>
        <v>1</v>
      </c>
      <c r="H9">
        <f t="shared" si="3"/>
        <v>1</v>
      </c>
      <c r="K9" t="s">
        <v>333</v>
      </c>
      <c r="L9" t="s">
        <v>313</v>
      </c>
      <c r="M9" s="2" t="s">
        <v>334</v>
      </c>
    </row>
    <row r="10" spans="1:14" x14ac:dyDescent="0.25">
      <c r="A10">
        <v>9</v>
      </c>
      <c r="B10" t="s">
        <v>10</v>
      </c>
      <c r="C10">
        <v>5.4965223801893302E-2</v>
      </c>
      <c r="D10">
        <v>-1</v>
      </c>
      <c r="E10">
        <f t="shared" si="0"/>
        <v>1</v>
      </c>
      <c r="F10">
        <f t="shared" si="1"/>
        <v>-5.4965223801893302E-2</v>
      </c>
      <c r="G10">
        <f t="shared" si="2"/>
        <v>0</v>
      </c>
      <c r="H10">
        <f t="shared" si="3"/>
        <v>0</v>
      </c>
      <c r="J10" s="3" t="s">
        <v>332</v>
      </c>
      <c r="K10">
        <f>K2-K4</f>
        <v>8.5992977561752601E-3</v>
      </c>
      <c r="L10">
        <f>_xlfn.T.INV(1-M10,(M2+M4-2))</f>
        <v>1.4827153814539766</v>
      </c>
      <c r="M10">
        <f>_xlfn.T.TEST(Signal1!C2:C142,'Signal-1'!C2:C150,1,3)</f>
        <v>6.9621729012713296E-2</v>
      </c>
    </row>
    <row r="11" spans="1:14" x14ac:dyDescent="0.25">
      <c r="A11">
        <v>10</v>
      </c>
      <c r="B11" t="s">
        <v>11</v>
      </c>
      <c r="C11">
        <v>9.7422081211022193E-2</v>
      </c>
      <c r="D11">
        <v>-1</v>
      </c>
      <c r="E11">
        <f t="shared" si="0"/>
        <v>1</v>
      </c>
      <c r="F11">
        <f t="shared" si="1"/>
        <v>-9.7422081211022193E-2</v>
      </c>
      <c r="G11">
        <f t="shared" si="2"/>
        <v>0</v>
      </c>
      <c r="H11">
        <f t="shared" si="3"/>
        <v>0</v>
      </c>
      <c r="J11" s="3"/>
    </row>
    <row r="12" spans="1:14" x14ac:dyDescent="0.25">
      <c r="A12">
        <v>11</v>
      </c>
      <c r="B12" t="s">
        <v>12</v>
      </c>
      <c r="C12">
        <v>7.7299617584423996E-2</v>
      </c>
      <c r="D12">
        <v>1</v>
      </c>
      <c r="E12">
        <f t="shared" si="0"/>
        <v>1</v>
      </c>
      <c r="F12">
        <f t="shared" si="1"/>
        <v>7.7299617584423996E-2</v>
      </c>
      <c r="G12">
        <f t="shared" si="2"/>
        <v>1</v>
      </c>
      <c r="H12">
        <f t="shared" si="3"/>
        <v>1</v>
      </c>
      <c r="J12" s="3"/>
    </row>
    <row r="13" spans="1:14" x14ac:dyDescent="0.25">
      <c r="A13">
        <v>12</v>
      </c>
      <c r="B13" t="s">
        <v>13</v>
      </c>
      <c r="C13">
        <v>4.1436876460371697E-2</v>
      </c>
      <c r="D13">
        <v>1</v>
      </c>
      <c r="E13">
        <f t="shared" si="0"/>
        <v>1</v>
      </c>
      <c r="F13">
        <f t="shared" si="1"/>
        <v>4.1436876460371697E-2</v>
      </c>
      <c r="G13">
        <f t="shared" si="2"/>
        <v>1</v>
      </c>
      <c r="H13">
        <f t="shared" si="3"/>
        <v>1</v>
      </c>
      <c r="J13" s="3"/>
    </row>
    <row r="14" spans="1:14" x14ac:dyDescent="0.25">
      <c r="A14">
        <v>13</v>
      </c>
      <c r="B14" t="s">
        <v>14</v>
      </c>
      <c r="C14">
        <v>-8.2328805449775999E-2</v>
      </c>
      <c r="D14">
        <v>1</v>
      </c>
      <c r="E14">
        <f t="shared" si="0"/>
        <v>1</v>
      </c>
      <c r="F14">
        <f t="shared" si="1"/>
        <v>-8.2328805449775999E-2</v>
      </c>
      <c r="G14">
        <f t="shared" si="2"/>
        <v>0</v>
      </c>
      <c r="H14">
        <f t="shared" si="3"/>
        <v>0</v>
      </c>
    </row>
    <row r="15" spans="1:14" x14ac:dyDescent="0.25">
      <c r="A15">
        <v>14</v>
      </c>
      <c r="B15" t="s">
        <v>15</v>
      </c>
      <c r="C15">
        <v>-2.89685082408879E-2</v>
      </c>
      <c r="D15">
        <v>1</v>
      </c>
      <c r="E15">
        <f t="shared" si="0"/>
        <v>1</v>
      </c>
      <c r="F15">
        <f t="shared" si="1"/>
        <v>-2.89685082408879E-2</v>
      </c>
      <c r="G15">
        <f t="shared" si="2"/>
        <v>0</v>
      </c>
      <c r="H15">
        <f t="shared" si="3"/>
        <v>0</v>
      </c>
      <c r="K15" t="s">
        <v>303</v>
      </c>
      <c r="L15" t="s">
        <v>313</v>
      </c>
      <c r="M15" t="s">
        <v>314</v>
      </c>
    </row>
    <row r="16" spans="1:14" x14ac:dyDescent="0.25">
      <c r="A16">
        <v>15</v>
      </c>
      <c r="B16" t="s">
        <v>16</v>
      </c>
      <c r="C16">
        <v>-2.31607341766716E-2</v>
      </c>
      <c r="D16">
        <v>-1</v>
      </c>
      <c r="E16">
        <f t="shared" si="0"/>
        <v>1</v>
      </c>
      <c r="F16">
        <f t="shared" si="1"/>
        <v>2.31607341766716E-2</v>
      </c>
      <c r="G16">
        <f t="shared" si="2"/>
        <v>1</v>
      </c>
      <c r="H16">
        <f t="shared" si="3"/>
        <v>1</v>
      </c>
      <c r="J16" s="2" t="s">
        <v>307</v>
      </c>
      <c r="K16" s="1">
        <f>CORREL(C2:C301,D2:D301)</f>
        <v>8.4724282965002076E-2</v>
      </c>
      <c r="L16">
        <f>(K16*SQRT(M5-2))/SQRT(1-K16^2)</f>
        <v>1.467845624639929</v>
      </c>
      <c r="M16">
        <f>_xlfn.T.DIST.2T(L16,M5-2)</f>
        <v>0.14320081873542412</v>
      </c>
    </row>
    <row r="17" spans="1:13" x14ac:dyDescent="0.25">
      <c r="A17">
        <v>16</v>
      </c>
      <c r="B17" t="s">
        <v>17</v>
      </c>
      <c r="C17">
        <v>5.3045326505875498E-2</v>
      </c>
      <c r="D17">
        <v>1</v>
      </c>
      <c r="E17">
        <f t="shared" si="0"/>
        <v>1</v>
      </c>
      <c r="F17">
        <f t="shared" si="1"/>
        <v>5.3045326505875498E-2</v>
      </c>
      <c r="G17">
        <f t="shared" si="2"/>
        <v>1</v>
      </c>
      <c r="H17">
        <f t="shared" si="3"/>
        <v>1</v>
      </c>
      <c r="J17" s="2" t="s">
        <v>312</v>
      </c>
      <c r="K17" s="1">
        <f>(K2-K4)/L6*SQRT(K18*(1-K18))</f>
        <v>8.7049845820789534E-2</v>
      </c>
      <c r="L17">
        <f>(K17*SQRT(M6-2))/SQRT(1-K17^2)</f>
        <v>1.482914076047148</v>
      </c>
      <c r="M17">
        <f>_xlfn.T.DIST.2T(L17,M6-2)</f>
        <v>0.13919067907982319</v>
      </c>
    </row>
    <row r="18" spans="1:13" x14ac:dyDescent="0.25">
      <c r="A18">
        <v>17</v>
      </c>
      <c r="B18" t="s">
        <v>18</v>
      </c>
      <c r="C18">
        <v>-3.0506191789632999E-4</v>
      </c>
      <c r="D18">
        <v>1</v>
      </c>
      <c r="E18">
        <f t="shared" si="0"/>
        <v>1</v>
      </c>
      <c r="F18">
        <f t="shared" si="1"/>
        <v>-3.0506191789632999E-4</v>
      </c>
      <c r="G18">
        <f t="shared" si="2"/>
        <v>0</v>
      </c>
      <c r="H18">
        <f t="shared" si="3"/>
        <v>0</v>
      </c>
      <c r="J18" s="2" t="s">
        <v>311</v>
      </c>
      <c r="K18">
        <f>M2/(M2+M4)</f>
        <v>0.48620689655172411</v>
      </c>
      <c r="L18" s="1"/>
    </row>
    <row r="19" spans="1:13" x14ac:dyDescent="0.25">
      <c r="A19">
        <v>18</v>
      </c>
      <c r="B19" t="s">
        <v>19</v>
      </c>
      <c r="C19">
        <v>-8.2598602969305004E-2</v>
      </c>
      <c r="D19">
        <v>-1</v>
      </c>
      <c r="E19">
        <f t="shared" si="0"/>
        <v>1</v>
      </c>
      <c r="F19">
        <f t="shared" si="1"/>
        <v>8.2598602969305004E-2</v>
      </c>
      <c r="G19">
        <f t="shared" si="2"/>
        <v>1</v>
      </c>
      <c r="H19">
        <f t="shared" si="3"/>
        <v>1</v>
      </c>
      <c r="K19" s="1"/>
      <c r="L19" s="1"/>
    </row>
    <row r="20" spans="1:13" x14ac:dyDescent="0.25">
      <c r="A20">
        <v>19</v>
      </c>
      <c r="B20" t="s">
        <v>20</v>
      </c>
      <c r="C20">
        <v>9.1235344420342604E-2</v>
      </c>
      <c r="D20">
        <v>1</v>
      </c>
      <c r="E20">
        <f t="shared" si="0"/>
        <v>1</v>
      </c>
      <c r="F20">
        <f t="shared" si="1"/>
        <v>9.1235344420342604E-2</v>
      </c>
      <c r="G20">
        <f t="shared" si="2"/>
        <v>1</v>
      </c>
      <c r="H20">
        <f t="shared" si="3"/>
        <v>1</v>
      </c>
      <c r="K20" t="s">
        <v>315</v>
      </c>
      <c r="L20" t="s">
        <v>319</v>
      </c>
      <c r="M20" t="s">
        <v>314</v>
      </c>
    </row>
    <row r="21" spans="1:13" x14ac:dyDescent="0.25">
      <c r="A21">
        <v>20</v>
      </c>
      <c r="B21" t="s">
        <v>21</v>
      </c>
      <c r="C21">
        <v>4.0841650512518798E-2</v>
      </c>
      <c r="D21">
        <v>-1</v>
      </c>
      <c r="E21">
        <f t="shared" si="0"/>
        <v>1</v>
      </c>
      <c r="F21">
        <f t="shared" si="1"/>
        <v>-4.0841650512518798E-2</v>
      </c>
      <c r="G21">
        <f t="shared" si="2"/>
        <v>0</v>
      </c>
      <c r="H21">
        <f t="shared" si="3"/>
        <v>0</v>
      </c>
      <c r="J21" s="2" t="s">
        <v>307</v>
      </c>
      <c r="K21" s="1">
        <f>AVERAGE(G2:G301)</f>
        <v>0.52666666666666662</v>
      </c>
      <c r="L21">
        <f>(K21-0.5)/SQRT(0.5*(1-0.5)/M5)</f>
        <v>0.92376043070339942</v>
      </c>
      <c r="M21">
        <f>2*(1-_xlfn.NORM.S.DIST(ABS(L21),TRUE))</f>
        <v>0.3556110610952401</v>
      </c>
    </row>
    <row r="22" spans="1:13" x14ac:dyDescent="0.25">
      <c r="A22">
        <v>21</v>
      </c>
      <c r="B22" t="s">
        <v>22</v>
      </c>
      <c r="C22">
        <v>1.19327656468284E-3</v>
      </c>
      <c r="D22">
        <v>-1</v>
      </c>
      <c r="E22">
        <f t="shared" si="0"/>
        <v>1</v>
      </c>
      <c r="F22">
        <f t="shared" si="1"/>
        <v>-1.19327656468284E-3</v>
      </c>
      <c r="G22">
        <f t="shared" si="2"/>
        <v>0</v>
      </c>
      <c r="H22">
        <f t="shared" si="3"/>
        <v>0</v>
      </c>
      <c r="J22" s="2" t="s">
        <v>312</v>
      </c>
      <c r="K22" s="1">
        <f>SUM(H2:H301)/M6</f>
        <v>0.54482758620689653</v>
      </c>
      <c r="L22">
        <f>(K22-0.5)/SQRT(0.5*(1-0.5)/M6)</f>
        <v>1.5267725707382285</v>
      </c>
      <c r="M22">
        <f>2*(1-_xlfn.NORM.S.DIST(ABS(L22),TRUE))</f>
        <v>0.12681757448329178</v>
      </c>
    </row>
    <row r="23" spans="1:13" x14ac:dyDescent="0.25">
      <c r="A23">
        <v>22</v>
      </c>
      <c r="B23" t="s">
        <v>23</v>
      </c>
      <c r="C23">
        <v>5.87256813697076E-2</v>
      </c>
      <c r="D23">
        <v>-1</v>
      </c>
      <c r="E23">
        <f t="shared" si="0"/>
        <v>1</v>
      </c>
      <c r="F23">
        <f t="shared" si="1"/>
        <v>-5.87256813697076E-2</v>
      </c>
      <c r="G23">
        <f t="shared" si="2"/>
        <v>0</v>
      </c>
      <c r="H23">
        <f t="shared" si="3"/>
        <v>0</v>
      </c>
    </row>
    <row r="24" spans="1:13" x14ac:dyDescent="0.25">
      <c r="A24">
        <v>23</v>
      </c>
      <c r="B24" t="s">
        <v>24</v>
      </c>
      <c r="C24">
        <v>-7.7198758844820997E-2</v>
      </c>
      <c r="D24">
        <v>-1</v>
      </c>
      <c r="E24">
        <f t="shared" si="0"/>
        <v>1</v>
      </c>
      <c r="F24">
        <f t="shared" si="1"/>
        <v>7.7198758844820997E-2</v>
      </c>
      <c r="G24">
        <f t="shared" si="2"/>
        <v>1</v>
      </c>
      <c r="H24">
        <f t="shared" si="3"/>
        <v>1</v>
      </c>
    </row>
    <row r="25" spans="1:13" x14ac:dyDescent="0.25">
      <c r="A25">
        <v>24</v>
      </c>
      <c r="B25" t="s">
        <v>25</v>
      </c>
      <c r="C25">
        <v>2.5752102596578601E-2</v>
      </c>
      <c r="D25">
        <v>-1</v>
      </c>
      <c r="E25">
        <f t="shared" si="0"/>
        <v>1</v>
      </c>
      <c r="F25">
        <f t="shared" si="1"/>
        <v>-2.5752102596578601E-2</v>
      </c>
      <c r="G25">
        <f t="shared" si="2"/>
        <v>0</v>
      </c>
      <c r="H25">
        <f t="shared" si="3"/>
        <v>0</v>
      </c>
      <c r="J25" s="2" t="s">
        <v>323</v>
      </c>
      <c r="K25">
        <v>2.5000000000000001E-3</v>
      </c>
      <c r="L25">
        <f>K25*-1</f>
        <v>-2.5000000000000001E-3</v>
      </c>
    </row>
    <row r="26" spans="1:13" x14ac:dyDescent="0.25">
      <c r="A26">
        <v>25</v>
      </c>
      <c r="B26" t="s">
        <v>26</v>
      </c>
      <c r="C26">
        <v>-3.2396011494163698E-2</v>
      </c>
      <c r="D26">
        <v>-1</v>
      </c>
      <c r="E26">
        <f t="shared" si="0"/>
        <v>1</v>
      </c>
      <c r="F26">
        <f t="shared" si="1"/>
        <v>3.2396011494163698E-2</v>
      </c>
      <c r="G26">
        <f t="shared" si="2"/>
        <v>1</v>
      </c>
      <c r="H26">
        <f t="shared" si="3"/>
        <v>1</v>
      </c>
    </row>
    <row r="27" spans="1:13" x14ac:dyDescent="0.25">
      <c r="A27">
        <v>26</v>
      </c>
      <c r="B27" t="s">
        <v>27</v>
      </c>
      <c r="C27">
        <v>1.7320342985111498E-2</v>
      </c>
      <c r="D27">
        <v>-1</v>
      </c>
      <c r="E27">
        <f t="shared" si="0"/>
        <v>1</v>
      </c>
      <c r="F27">
        <f t="shared" si="1"/>
        <v>-1.7320342985111498E-2</v>
      </c>
      <c r="G27">
        <f t="shared" si="2"/>
        <v>0</v>
      </c>
      <c r="H27">
        <f t="shared" si="3"/>
        <v>0</v>
      </c>
      <c r="K27" t="s">
        <v>321</v>
      </c>
      <c r="L27" t="s">
        <v>322</v>
      </c>
    </row>
    <row r="28" spans="1:13" x14ac:dyDescent="0.25">
      <c r="A28">
        <v>27</v>
      </c>
      <c r="B28" t="s">
        <v>28</v>
      </c>
      <c r="C28">
        <v>5.3367727119415396E-3</v>
      </c>
      <c r="D28">
        <v>1</v>
      </c>
      <c r="E28">
        <f t="shared" si="0"/>
        <v>1</v>
      </c>
      <c r="F28">
        <f t="shared" si="1"/>
        <v>5.3367727119415396E-3</v>
      </c>
      <c r="G28">
        <f t="shared" si="2"/>
        <v>1</v>
      </c>
      <c r="H28">
        <f t="shared" si="3"/>
        <v>1</v>
      </c>
      <c r="J28" s="2" t="s">
        <v>324</v>
      </c>
      <c r="K28">
        <f>COUNTIFS(C2:C301,"&gt;="&amp;$K$25,D2:D301,1)</f>
        <v>77</v>
      </c>
      <c r="L28">
        <f>COUNTIFS(C2:C301,"&gt;="&amp;K25,D2:D301,"&lt;&gt;1")</f>
        <v>71</v>
      </c>
    </row>
    <row r="29" spans="1:13" x14ac:dyDescent="0.25">
      <c r="A29">
        <v>28</v>
      </c>
      <c r="B29" t="s">
        <v>29</v>
      </c>
      <c r="C29">
        <v>3.3181766829937703E-2</v>
      </c>
      <c r="D29">
        <v>1</v>
      </c>
      <c r="E29">
        <f t="shared" si="0"/>
        <v>1</v>
      </c>
      <c r="F29">
        <f t="shared" si="1"/>
        <v>3.3181766829937703E-2</v>
      </c>
      <c r="G29">
        <f t="shared" si="2"/>
        <v>1</v>
      </c>
      <c r="H29">
        <f t="shared" si="3"/>
        <v>1</v>
      </c>
      <c r="J29" s="2" t="s">
        <v>325</v>
      </c>
      <c r="K29">
        <f>COUNTIFS(C2:C301,"&lt;"&amp;L25,D2:D301,1)</f>
        <v>59</v>
      </c>
      <c r="L29">
        <f>COUNTIFS(C2:C301,"&lt;="&amp;L25,D2:D301,"&lt;&gt;1")</f>
        <v>79</v>
      </c>
    </row>
    <row r="30" spans="1:13" x14ac:dyDescent="0.25">
      <c r="A30">
        <v>29</v>
      </c>
      <c r="B30" t="s">
        <v>30</v>
      </c>
      <c r="C30">
        <v>5.5394511382850099E-2</v>
      </c>
      <c r="D30">
        <v>-1</v>
      </c>
      <c r="E30">
        <f t="shared" si="0"/>
        <v>1</v>
      </c>
      <c r="F30">
        <f t="shared" si="1"/>
        <v>-5.5394511382850099E-2</v>
      </c>
      <c r="G30">
        <f t="shared" si="2"/>
        <v>0</v>
      </c>
      <c r="H30">
        <f t="shared" si="3"/>
        <v>0</v>
      </c>
    </row>
    <row r="31" spans="1:13" x14ac:dyDescent="0.25">
      <c r="A31">
        <v>30</v>
      </c>
      <c r="B31" t="s">
        <v>31</v>
      </c>
      <c r="C31">
        <v>1.29026537265442E-2</v>
      </c>
      <c r="D31">
        <v>1</v>
      </c>
      <c r="E31">
        <f t="shared" si="0"/>
        <v>1</v>
      </c>
      <c r="F31">
        <f t="shared" si="1"/>
        <v>1.29026537265442E-2</v>
      </c>
      <c r="G31">
        <f t="shared" si="2"/>
        <v>1</v>
      </c>
      <c r="H31">
        <f t="shared" si="3"/>
        <v>1</v>
      </c>
      <c r="J31" s="2" t="s">
        <v>326</v>
      </c>
      <c r="K31" s="1">
        <f>(K28+L29)/SUM(K28:L29)</f>
        <v>0.54545454545454541</v>
      </c>
    </row>
    <row r="32" spans="1:13" x14ac:dyDescent="0.25">
      <c r="A32">
        <v>31</v>
      </c>
      <c r="B32" t="s">
        <v>32</v>
      </c>
      <c r="C32">
        <v>5.5142574062372801E-2</v>
      </c>
      <c r="D32">
        <v>1</v>
      </c>
      <c r="E32">
        <f t="shared" si="0"/>
        <v>1</v>
      </c>
      <c r="F32">
        <f t="shared" si="1"/>
        <v>5.5142574062372801E-2</v>
      </c>
      <c r="G32">
        <f t="shared" si="2"/>
        <v>1</v>
      </c>
      <c r="H32">
        <f t="shared" si="3"/>
        <v>1</v>
      </c>
      <c r="J32" s="2" t="s">
        <v>327</v>
      </c>
      <c r="K32" s="1">
        <f>K28/(K28+K29)</f>
        <v>0.56617647058823528</v>
      </c>
    </row>
    <row r="33" spans="1:11" x14ac:dyDescent="0.25">
      <c r="A33">
        <v>32</v>
      </c>
      <c r="B33" t="s">
        <v>33</v>
      </c>
      <c r="C33">
        <v>-6.2372416587321698E-2</v>
      </c>
      <c r="D33">
        <v>-1</v>
      </c>
      <c r="E33">
        <f t="shared" si="0"/>
        <v>1</v>
      </c>
      <c r="F33">
        <f t="shared" si="1"/>
        <v>6.2372416587321698E-2</v>
      </c>
      <c r="G33">
        <f t="shared" si="2"/>
        <v>1</v>
      </c>
      <c r="H33">
        <f t="shared" si="3"/>
        <v>1</v>
      </c>
      <c r="J33" s="2" t="s">
        <v>328</v>
      </c>
      <c r="K33" s="1">
        <f>K28/(K28+L28)</f>
        <v>0.52027027027027029</v>
      </c>
    </row>
    <row r="34" spans="1:11" x14ac:dyDescent="0.25">
      <c r="A34">
        <v>33</v>
      </c>
      <c r="B34" t="s">
        <v>34</v>
      </c>
      <c r="C34">
        <v>-2.71289654113505E-2</v>
      </c>
      <c r="D34">
        <v>1</v>
      </c>
      <c r="E34">
        <f t="shared" si="0"/>
        <v>1</v>
      </c>
      <c r="F34">
        <f t="shared" si="1"/>
        <v>-2.71289654113505E-2</v>
      </c>
      <c r="G34">
        <f t="shared" si="2"/>
        <v>0</v>
      </c>
      <c r="H34">
        <f t="shared" si="3"/>
        <v>0</v>
      </c>
      <c r="J34" s="2" t="s">
        <v>329</v>
      </c>
      <c r="K34" s="1">
        <f>L29/(L29+K29)</f>
        <v>0.57246376811594202</v>
      </c>
    </row>
    <row r="35" spans="1:11" x14ac:dyDescent="0.25">
      <c r="A35">
        <v>34</v>
      </c>
      <c r="B35" t="s">
        <v>35</v>
      </c>
      <c r="C35">
        <v>8.4742220444739294E-2</v>
      </c>
      <c r="D35">
        <v>1</v>
      </c>
      <c r="E35">
        <f t="shared" si="0"/>
        <v>1</v>
      </c>
      <c r="F35">
        <f t="shared" si="1"/>
        <v>8.4742220444739294E-2</v>
      </c>
      <c r="G35">
        <f t="shared" si="2"/>
        <v>1</v>
      </c>
      <c r="H35">
        <f t="shared" si="3"/>
        <v>1</v>
      </c>
      <c r="J35" s="2" t="s">
        <v>330</v>
      </c>
      <c r="K35" s="1">
        <f>K29/(K29+L29)</f>
        <v>0.42753623188405798</v>
      </c>
    </row>
    <row r="36" spans="1:11" x14ac:dyDescent="0.25">
      <c r="A36">
        <v>35</v>
      </c>
      <c r="B36" t="s">
        <v>36</v>
      </c>
      <c r="C36">
        <v>2.70852094675713E-2</v>
      </c>
      <c r="D36">
        <v>1</v>
      </c>
      <c r="E36">
        <f t="shared" si="0"/>
        <v>1</v>
      </c>
      <c r="F36">
        <f t="shared" si="1"/>
        <v>2.70852094675713E-2</v>
      </c>
      <c r="G36">
        <f t="shared" si="2"/>
        <v>1</v>
      </c>
      <c r="H36">
        <f t="shared" si="3"/>
        <v>1</v>
      </c>
      <c r="J36" s="2" t="s">
        <v>331</v>
      </c>
      <c r="K36" s="1">
        <f>L28/(K28+L28)</f>
        <v>0.47972972972972971</v>
      </c>
    </row>
    <row r="37" spans="1:11" x14ac:dyDescent="0.25">
      <c r="A37">
        <v>36</v>
      </c>
      <c r="B37" t="s">
        <v>37</v>
      </c>
      <c r="C37">
        <v>-9.5724738480685606E-2</v>
      </c>
      <c r="D37">
        <v>1</v>
      </c>
      <c r="E37">
        <f t="shared" si="0"/>
        <v>1</v>
      </c>
      <c r="F37">
        <f t="shared" si="1"/>
        <v>-9.5724738480685606E-2</v>
      </c>
      <c r="G37">
        <f t="shared" si="2"/>
        <v>0</v>
      </c>
      <c r="H37">
        <f t="shared" si="3"/>
        <v>0</v>
      </c>
    </row>
    <row r="38" spans="1:11" x14ac:dyDescent="0.25">
      <c r="A38">
        <v>37</v>
      </c>
      <c r="B38" t="s">
        <v>38</v>
      </c>
      <c r="C38">
        <v>-6.2662696068742904E-2</v>
      </c>
      <c r="D38">
        <v>1</v>
      </c>
      <c r="E38">
        <f t="shared" si="0"/>
        <v>1</v>
      </c>
      <c r="F38">
        <f t="shared" si="1"/>
        <v>-6.2662696068742904E-2</v>
      </c>
      <c r="G38">
        <f t="shared" si="2"/>
        <v>0</v>
      </c>
      <c r="H38">
        <f t="shared" si="3"/>
        <v>0</v>
      </c>
    </row>
    <row r="39" spans="1:11" x14ac:dyDescent="0.25">
      <c r="A39">
        <v>38</v>
      </c>
      <c r="B39" t="s">
        <v>39</v>
      </c>
      <c r="C39">
        <v>-1.0658167885223301E-2</v>
      </c>
      <c r="D39">
        <v>-1</v>
      </c>
      <c r="E39">
        <f t="shared" si="0"/>
        <v>1</v>
      </c>
      <c r="F39">
        <f t="shared" si="1"/>
        <v>1.0658167885223301E-2</v>
      </c>
      <c r="G39">
        <f t="shared" si="2"/>
        <v>1</v>
      </c>
      <c r="H39">
        <f t="shared" si="3"/>
        <v>1</v>
      </c>
    </row>
    <row r="40" spans="1:11" x14ac:dyDescent="0.25">
      <c r="A40">
        <v>39</v>
      </c>
      <c r="B40" t="s">
        <v>40</v>
      </c>
      <c r="C40">
        <v>4.02293435793252E-2</v>
      </c>
      <c r="D40">
        <v>-1</v>
      </c>
      <c r="E40">
        <f t="shared" si="0"/>
        <v>1</v>
      </c>
      <c r="F40">
        <f t="shared" si="1"/>
        <v>-4.02293435793252E-2</v>
      </c>
      <c r="G40">
        <f t="shared" si="2"/>
        <v>0</v>
      </c>
      <c r="H40">
        <f t="shared" si="3"/>
        <v>0</v>
      </c>
    </row>
    <row r="41" spans="1:11" x14ac:dyDescent="0.25">
      <c r="A41">
        <v>40</v>
      </c>
      <c r="B41" t="s">
        <v>41</v>
      </c>
      <c r="C41">
        <v>-8.8988727958849503E-3</v>
      </c>
      <c r="D41">
        <v>-1</v>
      </c>
      <c r="E41">
        <f t="shared" si="0"/>
        <v>1</v>
      </c>
      <c r="F41">
        <f t="shared" si="1"/>
        <v>8.8988727958849503E-3</v>
      </c>
      <c r="G41">
        <f t="shared" si="2"/>
        <v>1</v>
      </c>
      <c r="H41">
        <f t="shared" si="3"/>
        <v>1</v>
      </c>
    </row>
    <row r="42" spans="1:11" x14ac:dyDescent="0.25">
      <c r="A42">
        <v>41</v>
      </c>
      <c r="B42" t="s">
        <v>42</v>
      </c>
      <c r="C42">
        <v>2.42623038118275E-2</v>
      </c>
      <c r="D42">
        <v>-1</v>
      </c>
      <c r="E42">
        <f t="shared" si="0"/>
        <v>1</v>
      </c>
      <c r="F42">
        <f t="shared" si="1"/>
        <v>-2.42623038118275E-2</v>
      </c>
      <c r="G42">
        <f t="shared" si="2"/>
        <v>0</v>
      </c>
      <c r="H42">
        <f t="shared" si="3"/>
        <v>0</v>
      </c>
    </row>
    <row r="43" spans="1:11" x14ac:dyDescent="0.25">
      <c r="A43">
        <v>42</v>
      </c>
      <c r="B43" t="s">
        <v>43</v>
      </c>
      <c r="C43">
        <v>4.5871096109195299E-2</v>
      </c>
      <c r="D43">
        <v>-1</v>
      </c>
      <c r="E43">
        <f t="shared" si="0"/>
        <v>1</v>
      </c>
      <c r="F43">
        <f t="shared" si="1"/>
        <v>-4.5871096109195299E-2</v>
      </c>
      <c r="G43">
        <f t="shared" si="2"/>
        <v>0</v>
      </c>
      <c r="H43">
        <f t="shared" si="3"/>
        <v>0</v>
      </c>
    </row>
    <row r="44" spans="1:11" x14ac:dyDescent="0.25">
      <c r="A44">
        <v>43</v>
      </c>
      <c r="B44" t="s">
        <v>44</v>
      </c>
      <c r="C44">
        <v>7.0898777927464296E-2</v>
      </c>
      <c r="D44">
        <v>-1</v>
      </c>
      <c r="E44">
        <f t="shared" si="0"/>
        <v>1</v>
      </c>
      <c r="F44">
        <f t="shared" si="1"/>
        <v>-7.0898777927464296E-2</v>
      </c>
      <c r="G44">
        <f t="shared" si="2"/>
        <v>0</v>
      </c>
      <c r="H44">
        <f t="shared" si="3"/>
        <v>0</v>
      </c>
    </row>
    <row r="45" spans="1:11" x14ac:dyDescent="0.25">
      <c r="A45">
        <v>44</v>
      </c>
      <c r="B45" t="s">
        <v>45</v>
      </c>
      <c r="C45">
        <v>2.4490396317133199E-2</v>
      </c>
      <c r="D45">
        <v>1</v>
      </c>
      <c r="E45">
        <f t="shared" si="0"/>
        <v>1</v>
      </c>
      <c r="F45">
        <f t="shared" si="1"/>
        <v>2.4490396317133199E-2</v>
      </c>
      <c r="G45">
        <f t="shared" si="2"/>
        <v>1</v>
      </c>
      <c r="H45">
        <f t="shared" si="3"/>
        <v>1</v>
      </c>
    </row>
    <row r="46" spans="1:11" x14ac:dyDescent="0.25">
      <c r="A46">
        <v>45</v>
      </c>
      <c r="B46" t="s">
        <v>46</v>
      </c>
      <c r="C46">
        <v>9.4805246740049601E-3</v>
      </c>
      <c r="D46">
        <v>1</v>
      </c>
      <c r="E46">
        <f t="shared" si="0"/>
        <v>1</v>
      </c>
      <c r="F46">
        <f t="shared" si="1"/>
        <v>9.4805246740049601E-3</v>
      </c>
      <c r="G46">
        <f t="shared" si="2"/>
        <v>1</v>
      </c>
      <c r="H46">
        <f t="shared" si="3"/>
        <v>1</v>
      </c>
    </row>
    <row r="47" spans="1:11" x14ac:dyDescent="0.25">
      <c r="A47">
        <v>46</v>
      </c>
      <c r="B47" t="s">
        <v>47</v>
      </c>
      <c r="C47">
        <v>-9.8892953789147003E-2</v>
      </c>
      <c r="D47">
        <v>-1</v>
      </c>
      <c r="E47">
        <f t="shared" si="0"/>
        <v>1</v>
      </c>
      <c r="F47">
        <f t="shared" si="1"/>
        <v>9.8892953789147003E-2</v>
      </c>
      <c r="G47">
        <f t="shared" si="2"/>
        <v>1</v>
      </c>
      <c r="H47">
        <f t="shared" si="3"/>
        <v>1</v>
      </c>
    </row>
    <row r="48" spans="1:11" x14ac:dyDescent="0.25">
      <c r="A48">
        <v>47</v>
      </c>
      <c r="B48" t="s">
        <v>48</v>
      </c>
      <c r="C48">
        <v>9.3753135140061501E-4</v>
      </c>
      <c r="D48">
        <v>-1</v>
      </c>
      <c r="E48">
        <f t="shared" si="0"/>
        <v>1</v>
      </c>
      <c r="F48">
        <f t="shared" si="1"/>
        <v>-9.3753135140061501E-4</v>
      </c>
      <c r="G48">
        <f t="shared" si="2"/>
        <v>0</v>
      </c>
      <c r="H48">
        <f t="shared" si="3"/>
        <v>0</v>
      </c>
    </row>
    <row r="49" spans="1:8" x14ac:dyDescent="0.25">
      <c r="A49">
        <v>48</v>
      </c>
      <c r="B49" t="s">
        <v>49</v>
      </c>
      <c r="C49">
        <v>-3.3259056431010403E-2</v>
      </c>
      <c r="D49">
        <v>-1</v>
      </c>
      <c r="E49">
        <f t="shared" si="0"/>
        <v>1</v>
      </c>
      <c r="F49">
        <f t="shared" si="1"/>
        <v>3.3259056431010403E-2</v>
      </c>
      <c r="G49">
        <f t="shared" si="2"/>
        <v>1</v>
      </c>
      <c r="H49">
        <f t="shared" si="3"/>
        <v>1</v>
      </c>
    </row>
    <row r="50" spans="1:8" x14ac:dyDescent="0.25">
      <c r="A50">
        <v>49</v>
      </c>
      <c r="B50" t="s">
        <v>50</v>
      </c>
      <c r="C50">
        <v>-4.0900827956841398E-2</v>
      </c>
      <c r="D50">
        <v>1</v>
      </c>
      <c r="E50">
        <f t="shared" si="0"/>
        <v>1</v>
      </c>
      <c r="F50">
        <f t="shared" si="1"/>
        <v>-4.0900827956841398E-2</v>
      </c>
      <c r="G50">
        <f t="shared" si="2"/>
        <v>0</v>
      </c>
      <c r="H50">
        <f t="shared" si="3"/>
        <v>0</v>
      </c>
    </row>
    <row r="51" spans="1:8" x14ac:dyDescent="0.25">
      <c r="A51">
        <v>50</v>
      </c>
      <c r="B51" t="s">
        <v>51</v>
      </c>
      <c r="C51">
        <v>-9.8290022170953104E-3</v>
      </c>
      <c r="D51">
        <v>-1</v>
      </c>
      <c r="E51">
        <f t="shared" si="0"/>
        <v>1</v>
      </c>
      <c r="F51">
        <f t="shared" si="1"/>
        <v>9.8290022170953104E-3</v>
      </c>
      <c r="G51">
        <f t="shared" si="2"/>
        <v>1</v>
      </c>
      <c r="H51">
        <f t="shared" si="3"/>
        <v>1</v>
      </c>
    </row>
    <row r="52" spans="1:8" x14ac:dyDescent="0.25">
      <c r="A52">
        <v>51</v>
      </c>
      <c r="B52" t="s">
        <v>52</v>
      </c>
      <c r="C52">
        <v>5.3280343777130403E-2</v>
      </c>
      <c r="D52">
        <v>1</v>
      </c>
      <c r="E52">
        <f t="shared" si="0"/>
        <v>1</v>
      </c>
      <c r="F52">
        <f t="shared" si="1"/>
        <v>5.3280343777130403E-2</v>
      </c>
      <c r="G52">
        <f t="shared" si="2"/>
        <v>1</v>
      </c>
      <c r="H52">
        <f t="shared" si="3"/>
        <v>1</v>
      </c>
    </row>
    <row r="53" spans="1:8" x14ac:dyDescent="0.25">
      <c r="A53">
        <v>52</v>
      </c>
      <c r="B53" t="s">
        <v>53</v>
      </c>
      <c r="C53">
        <v>-9.9922891987916193E-2</v>
      </c>
      <c r="D53">
        <v>0</v>
      </c>
      <c r="E53">
        <f t="shared" si="0"/>
        <v>0</v>
      </c>
      <c r="F53">
        <f t="shared" si="1"/>
        <v>0</v>
      </c>
      <c r="G53">
        <f t="shared" si="2"/>
        <v>0</v>
      </c>
      <c r="H53">
        <f t="shared" si="3"/>
        <v>0</v>
      </c>
    </row>
    <row r="54" spans="1:8" x14ac:dyDescent="0.25">
      <c r="A54">
        <v>53</v>
      </c>
      <c r="B54" t="s">
        <v>54</v>
      </c>
      <c r="C54">
        <v>-2.17926689331846E-2</v>
      </c>
      <c r="D54">
        <v>0</v>
      </c>
      <c r="E54">
        <f t="shared" si="0"/>
        <v>0</v>
      </c>
      <c r="F54">
        <f t="shared" si="1"/>
        <v>0</v>
      </c>
      <c r="G54">
        <f t="shared" si="2"/>
        <v>0</v>
      </c>
      <c r="H54">
        <f t="shared" si="3"/>
        <v>0</v>
      </c>
    </row>
    <row r="55" spans="1:8" x14ac:dyDescent="0.25">
      <c r="A55">
        <v>54</v>
      </c>
      <c r="B55" t="s">
        <v>55</v>
      </c>
      <c r="C55">
        <v>1.9517887019279902E-2</v>
      </c>
      <c r="D55">
        <v>1</v>
      </c>
      <c r="E55">
        <f t="shared" si="0"/>
        <v>1</v>
      </c>
      <c r="F55">
        <f t="shared" si="1"/>
        <v>1.9517887019279902E-2</v>
      </c>
      <c r="G55">
        <f t="shared" si="2"/>
        <v>1</v>
      </c>
      <c r="H55">
        <f t="shared" si="3"/>
        <v>1</v>
      </c>
    </row>
    <row r="56" spans="1:8" x14ac:dyDescent="0.25">
      <c r="A56">
        <v>55</v>
      </c>
      <c r="B56" t="s">
        <v>56</v>
      </c>
      <c r="C56">
        <v>-4.6918088359340297E-2</v>
      </c>
      <c r="D56">
        <v>-1</v>
      </c>
      <c r="E56">
        <f t="shared" si="0"/>
        <v>1</v>
      </c>
      <c r="F56">
        <f t="shared" si="1"/>
        <v>4.6918088359340297E-2</v>
      </c>
      <c r="G56">
        <f t="shared" si="2"/>
        <v>1</v>
      </c>
      <c r="H56">
        <f t="shared" si="3"/>
        <v>1</v>
      </c>
    </row>
    <row r="57" spans="1:8" x14ac:dyDescent="0.25">
      <c r="A57">
        <v>56</v>
      </c>
      <c r="B57" t="s">
        <v>57</v>
      </c>
      <c r="C57">
        <v>3.1859853169256699E-2</v>
      </c>
      <c r="D57">
        <v>1</v>
      </c>
      <c r="E57">
        <f t="shared" si="0"/>
        <v>1</v>
      </c>
      <c r="F57">
        <f t="shared" si="1"/>
        <v>3.1859853169256699E-2</v>
      </c>
      <c r="G57">
        <f t="shared" si="2"/>
        <v>1</v>
      </c>
      <c r="H57">
        <f t="shared" si="3"/>
        <v>1</v>
      </c>
    </row>
    <row r="58" spans="1:8" x14ac:dyDescent="0.25">
      <c r="A58">
        <v>57</v>
      </c>
      <c r="B58" t="s">
        <v>58</v>
      </c>
      <c r="C58">
        <v>5.0839679884843196E-3</v>
      </c>
      <c r="D58">
        <v>-1</v>
      </c>
      <c r="E58">
        <f t="shared" si="0"/>
        <v>1</v>
      </c>
      <c r="F58">
        <f t="shared" si="1"/>
        <v>-5.0839679884843196E-3</v>
      </c>
      <c r="G58">
        <f t="shared" si="2"/>
        <v>0</v>
      </c>
      <c r="H58">
        <f t="shared" si="3"/>
        <v>0</v>
      </c>
    </row>
    <row r="59" spans="1:8" x14ac:dyDescent="0.25">
      <c r="A59">
        <v>58</v>
      </c>
      <c r="B59" t="s">
        <v>59</v>
      </c>
      <c r="C59">
        <v>4.1943295325611004E-3</v>
      </c>
      <c r="D59">
        <v>1</v>
      </c>
      <c r="E59">
        <f t="shared" si="0"/>
        <v>1</v>
      </c>
      <c r="F59">
        <f t="shared" si="1"/>
        <v>4.1943295325611004E-3</v>
      </c>
      <c r="G59">
        <f t="shared" si="2"/>
        <v>1</v>
      </c>
      <c r="H59">
        <f t="shared" si="3"/>
        <v>1</v>
      </c>
    </row>
    <row r="60" spans="1:8" x14ac:dyDescent="0.25">
      <c r="A60">
        <v>59</v>
      </c>
      <c r="B60" t="s">
        <v>60</v>
      </c>
      <c r="C60">
        <v>-0.122056367249555</v>
      </c>
      <c r="D60">
        <v>1</v>
      </c>
      <c r="E60">
        <f t="shared" si="0"/>
        <v>1</v>
      </c>
      <c r="F60">
        <f t="shared" si="1"/>
        <v>-0.122056367249555</v>
      </c>
      <c r="G60">
        <f t="shared" si="2"/>
        <v>0</v>
      </c>
      <c r="H60">
        <f t="shared" si="3"/>
        <v>0</v>
      </c>
    </row>
    <row r="61" spans="1:8" x14ac:dyDescent="0.25">
      <c r="A61">
        <v>60</v>
      </c>
      <c r="B61" t="s">
        <v>61</v>
      </c>
      <c r="C61">
        <v>0.130732322980772</v>
      </c>
      <c r="D61">
        <v>1</v>
      </c>
      <c r="E61">
        <f t="shared" si="0"/>
        <v>1</v>
      </c>
      <c r="F61">
        <f t="shared" si="1"/>
        <v>0.130732322980772</v>
      </c>
      <c r="G61">
        <f t="shared" si="2"/>
        <v>1</v>
      </c>
      <c r="H61">
        <f t="shared" si="3"/>
        <v>1</v>
      </c>
    </row>
    <row r="62" spans="1:8" x14ac:dyDescent="0.25">
      <c r="A62">
        <v>61</v>
      </c>
      <c r="B62" t="s">
        <v>62</v>
      </c>
      <c r="C62">
        <v>-6.4685680458111501E-3</v>
      </c>
      <c r="D62">
        <v>1</v>
      </c>
      <c r="E62">
        <f t="shared" si="0"/>
        <v>1</v>
      </c>
      <c r="F62">
        <f t="shared" si="1"/>
        <v>-6.4685680458111501E-3</v>
      </c>
      <c r="G62">
        <f t="shared" si="2"/>
        <v>0</v>
      </c>
      <c r="H62">
        <f t="shared" si="3"/>
        <v>0</v>
      </c>
    </row>
    <row r="63" spans="1:8" x14ac:dyDescent="0.25">
      <c r="A63">
        <v>62</v>
      </c>
      <c r="B63" t="s">
        <v>63</v>
      </c>
      <c r="C63">
        <v>2.7536429548290501E-2</v>
      </c>
      <c r="D63">
        <v>-1</v>
      </c>
      <c r="E63">
        <f t="shared" si="0"/>
        <v>1</v>
      </c>
      <c r="F63">
        <f t="shared" si="1"/>
        <v>-2.7536429548290501E-2</v>
      </c>
      <c r="G63">
        <f t="shared" si="2"/>
        <v>0</v>
      </c>
      <c r="H63">
        <f t="shared" si="3"/>
        <v>0</v>
      </c>
    </row>
    <row r="64" spans="1:8" x14ac:dyDescent="0.25">
      <c r="A64">
        <v>63</v>
      </c>
      <c r="B64" t="s">
        <v>64</v>
      </c>
      <c r="C64">
        <v>1.03562507151332E-2</v>
      </c>
      <c r="D64">
        <v>-1</v>
      </c>
      <c r="E64">
        <f t="shared" si="0"/>
        <v>1</v>
      </c>
      <c r="F64">
        <f t="shared" si="1"/>
        <v>-1.03562507151332E-2</v>
      </c>
      <c r="G64">
        <f t="shared" si="2"/>
        <v>0</v>
      </c>
      <c r="H64">
        <f t="shared" si="3"/>
        <v>0</v>
      </c>
    </row>
    <row r="65" spans="1:8" x14ac:dyDescent="0.25">
      <c r="A65">
        <v>64</v>
      </c>
      <c r="B65" t="s">
        <v>65</v>
      </c>
      <c r="C65">
        <v>4.1047907909846602E-2</v>
      </c>
      <c r="D65">
        <v>-1</v>
      </c>
      <c r="E65">
        <f t="shared" si="0"/>
        <v>1</v>
      </c>
      <c r="F65">
        <f t="shared" si="1"/>
        <v>-4.1047907909846602E-2</v>
      </c>
      <c r="G65">
        <f t="shared" si="2"/>
        <v>0</v>
      </c>
      <c r="H65">
        <f t="shared" si="3"/>
        <v>0</v>
      </c>
    </row>
    <row r="66" spans="1:8" x14ac:dyDescent="0.25">
      <c r="A66">
        <v>65</v>
      </c>
      <c r="B66" t="s">
        <v>66</v>
      </c>
      <c r="C66">
        <v>3.01650600539486E-2</v>
      </c>
      <c r="D66">
        <v>-1</v>
      </c>
      <c r="E66">
        <f t="shared" si="0"/>
        <v>1</v>
      </c>
      <c r="F66">
        <f t="shared" si="1"/>
        <v>-3.01650600539486E-2</v>
      </c>
      <c r="G66">
        <f t="shared" si="2"/>
        <v>0</v>
      </c>
      <c r="H66">
        <f t="shared" si="3"/>
        <v>0</v>
      </c>
    </row>
    <row r="67" spans="1:8" x14ac:dyDescent="0.25">
      <c r="A67">
        <v>66</v>
      </c>
      <c r="B67" t="s">
        <v>67</v>
      </c>
      <c r="C67">
        <v>-7.4543721473828498E-3</v>
      </c>
      <c r="D67">
        <v>1</v>
      </c>
      <c r="E67">
        <f t="shared" ref="E67:E130" si="5">IF(OR(D67=1,D67=-1),1,0)</f>
        <v>1</v>
      </c>
      <c r="F67">
        <f t="shared" ref="F67:F130" si="6">C67*D67</f>
        <v>-7.4543721473828498E-3</v>
      </c>
      <c r="G67">
        <f t="shared" ref="G67:G130" si="7">IF(F67&gt;0,1,0)</f>
        <v>0</v>
      </c>
      <c r="H67">
        <f t="shared" ref="H67:H130" si="8">E67*G67</f>
        <v>0</v>
      </c>
    </row>
    <row r="68" spans="1:8" x14ac:dyDescent="0.25">
      <c r="A68">
        <v>67</v>
      </c>
      <c r="B68" t="s">
        <v>68</v>
      </c>
      <c r="C68">
        <v>2.33904863967196E-2</v>
      </c>
      <c r="D68">
        <v>1</v>
      </c>
      <c r="E68">
        <f t="shared" si="5"/>
        <v>1</v>
      </c>
      <c r="F68">
        <f t="shared" si="6"/>
        <v>2.33904863967196E-2</v>
      </c>
      <c r="G68">
        <f t="shared" si="7"/>
        <v>1</v>
      </c>
      <c r="H68">
        <f t="shared" si="8"/>
        <v>1</v>
      </c>
    </row>
    <row r="69" spans="1:8" x14ac:dyDescent="0.25">
      <c r="A69">
        <v>68</v>
      </c>
      <c r="B69" t="s">
        <v>69</v>
      </c>
      <c r="C69">
        <v>-4.6740399288889602E-2</v>
      </c>
      <c r="D69">
        <v>1</v>
      </c>
      <c r="E69">
        <f t="shared" si="5"/>
        <v>1</v>
      </c>
      <c r="F69">
        <f t="shared" si="6"/>
        <v>-4.6740399288889602E-2</v>
      </c>
      <c r="G69">
        <f t="shared" si="7"/>
        <v>0</v>
      </c>
      <c r="H69">
        <f t="shared" si="8"/>
        <v>0</v>
      </c>
    </row>
    <row r="70" spans="1:8" x14ac:dyDescent="0.25">
      <c r="A70">
        <v>69</v>
      </c>
      <c r="B70" t="s">
        <v>70</v>
      </c>
      <c r="C70">
        <v>5.2068825223763299E-2</v>
      </c>
      <c r="D70">
        <v>1</v>
      </c>
      <c r="E70">
        <f t="shared" si="5"/>
        <v>1</v>
      </c>
      <c r="F70">
        <f t="shared" si="6"/>
        <v>5.2068825223763299E-2</v>
      </c>
      <c r="G70">
        <f t="shared" si="7"/>
        <v>1</v>
      </c>
      <c r="H70">
        <f t="shared" si="8"/>
        <v>1</v>
      </c>
    </row>
    <row r="71" spans="1:8" x14ac:dyDescent="0.25">
      <c r="A71">
        <v>70</v>
      </c>
      <c r="B71" t="s">
        <v>71</v>
      </c>
      <c r="C71">
        <v>-2.55107008794626E-3</v>
      </c>
      <c r="D71">
        <v>1</v>
      </c>
      <c r="E71">
        <f t="shared" si="5"/>
        <v>1</v>
      </c>
      <c r="F71">
        <f t="shared" si="6"/>
        <v>-2.55107008794626E-3</v>
      </c>
      <c r="G71">
        <f t="shared" si="7"/>
        <v>0</v>
      </c>
      <c r="H71">
        <f t="shared" si="8"/>
        <v>0</v>
      </c>
    </row>
    <row r="72" spans="1:8" x14ac:dyDescent="0.25">
      <c r="A72">
        <v>71</v>
      </c>
      <c r="B72" t="s">
        <v>72</v>
      </c>
      <c r="C72">
        <v>0.11592835602884501</v>
      </c>
      <c r="D72">
        <v>-1</v>
      </c>
      <c r="E72">
        <f t="shared" si="5"/>
        <v>1</v>
      </c>
      <c r="F72">
        <f t="shared" si="6"/>
        <v>-0.11592835602884501</v>
      </c>
      <c r="G72">
        <f t="shared" si="7"/>
        <v>0</v>
      </c>
      <c r="H72">
        <f t="shared" si="8"/>
        <v>0</v>
      </c>
    </row>
    <row r="73" spans="1:8" x14ac:dyDescent="0.25">
      <c r="A73">
        <v>72</v>
      </c>
      <c r="B73" t="s">
        <v>73</v>
      </c>
      <c r="C73">
        <v>-0.105644133540818</v>
      </c>
      <c r="D73">
        <v>-1</v>
      </c>
      <c r="E73">
        <f t="shared" si="5"/>
        <v>1</v>
      </c>
      <c r="F73">
        <f t="shared" si="6"/>
        <v>0.105644133540818</v>
      </c>
      <c r="G73">
        <f t="shared" si="7"/>
        <v>1</v>
      </c>
      <c r="H73">
        <f t="shared" si="8"/>
        <v>1</v>
      </c>
    </row>
    <row r="74" spans="1:8" x14ac:dyDescent="0.25">
      <c r="A74">
        <v>73</v>
      </c>
      <c r="B74" t="s">
        <v>74</v>
      </c>
      <c r="C74">
        <v>-1.31419769036782E-2</v>
      </c>
      <c r="D74">
        <v>1</v>
      </c>
      <c r="E74">
        <f t="shared" si="5"/>
        <v>1</v>
      </c>
      <c r="F74">
        <f t="shared" si="6"/>
        <v>-1.31419769036782E-2</v>
      </c>
      <c r="G74">
        <f t="shared" si="7"/>
        <v>0</v>
      </c>
      <c r="H74">
        <f t="shared" si="8"/>
        <v>0</v>
      </c>
    </row>
    <row r="75" spans="1:8" x14ac:dyDescent="0.25">
      <c r="A75">
        <v>74</v>
      </c>
      <c r="B75" t="s">
        <v>75</v>
      </c>
      <c r="C75">
        <v>3.41769855121382E-2</v>
      </c>
      <c r="D75">
        <v>-1</v>
      </c>
      <c r="E75">
        <f t="shared" si="5"/>
        <v>1</v>
      </c>
      <c r="F75">
        <f t="shared" si="6"/>
        <v>-3.41769855121382E-2</v>
      </c>
      <c r="G75">
        <f t="shared" si="7"/>
        <v>0</v>
      </c>
      <c r="H75">
        <f t="shared" si="8"/>
        <v>0</v>
      </c>
    </row>
    <row r="76" spans="1:8" x14ac:dyDescent="0.25">
      <c r="A76">
        <v>75</v>
      </c>
      <c r="B76" t="s">
        <v>76</v>
      </c>
      <c r="C76">
        <v>1.86265411792596E-2</v>
      </c>
      <c r="D76">
        <v>-1</v>
      </c>
      <c r="E76">
        <f t="shared" si="5"/>
        <v>1</v>
      </c>
      <c r="F76">
        <f t="shared" si="6"/>
        <v>-1.86265411792596E-2</v>
      </c>
      <c r="G76">
        <f t="shared" si="7"/>
        <v>0</v>
      </c>
      <c r="H76">
        <f t="shared" si="8"/>
        <v>0</v>
      </c>
    </row>
    <row r="77" spans="1:8" x14ac:dyDescent="0.25">
      <c r="A77">
        <v>76</v>
      </c>
      <c r="B77" t="s">
        <v>77</v>
      </c>
      <c r="C77">
        <v>-1.9218338228783001E-2</v>
      </c>
      <c r="D77">
        <v>1</v>
      </c>
      <c r="E77">
        <f t="shared" si="5"/>
        <v>1</v>
      </c>
      <c r="F77">
        <f t="shared" si="6"/>
        <v>-1.9218338228783001E-2</v>
      </c>
      <c r="G77">
        <f t="shared" si="7"/>
        <v>0</v>
      </c>
      <c r="H77">
        <f t="shared" si="8"/>
        <v>0</v>
      </c>
    </row>
    <row r="78" spans="1:8" x14ac:dyDescent="0.25">
      <c r="A78">
        <v>77</v>
      </c>
      <c r="B78" t="s">
        <v>78</v>
      </c>
      <c r="C78">
        <v>-5.2686767180886197E-2</v>
      </c>
      <c r="D78">
        <v>-1</v>
      </c>
      <c r="E78">
        <f t="shared" si="5"/>
        <v>1</v>
      </c>
      <c r="F78">
        <f t="shared" si="6"/>
        <v>5.2686767180886197E-2</v>
      </c>
      <c r="G78">
        <f t="shared" si="7"/>
        <v>1</v>
      </c>
      <c r="H78">
        <f t="shared" si="8"/>
        <v>1</v>
      </c>
    </row>
    <row r="79" spans="1:8" x14ac:dyDescent="0.25">
      <c r="A79">
        <v>78</v>
      </c>
      <c r="B79" t="s">
        <v>79</v>
      </c>
      <c r="C79">
        <v>-4.9833918870105199E-3</v>
      </c>
      <c r="D79">
        <v>-1</v>
      </c>
      <c r="E79">
        <f t="shared" si="5"/>
        <v>1</v>
      </c>
      <c r="F79">
        <f t="shared" si="6"/>
        <v>4.9833918870105199E-3</v>
      </c>
      <c r="G79">
        <f t="shared" si="7"/>
        <v>1</v>
      </c>
      <c r="H79">
        <f t="shared" si="8"/>
        <v>1</v>
      </c>
    </row>
    <row r="80" spans="1:8" x14ac:dyDescent="0.25">
      <c r="A80">
        <v>79</v>
      </c>
      <c r="B80" t="s">
        <v>80</v>
      </c>
      <c r="C80">
        <v>1.09766413914583E-3</v>
      </c>
      <c r="D80">
        <v>1</v>
      </c>
      <c r="E80">
        <f t="shared" si="5"/>
        <v>1</v>
      </c>
      <c r="F80">
        <f t="shared" si="6"/>
        <v>1.09766413914583E-3</v>
      </c>
      <c r="G80">
        <f t="shared" si="7"/>
        <v>1</v>
      </c>
      <c r="H80">
        <f t="shared" si="8"/>
        <v>1</v>
      </c>
    </row>
    <row r="81" spans="1:8" x14ac:dyDescent="0.25">
      <c r="A81">
        <v>80</v>
      </c>
      <c r="B81" t="s">
        <v>81</v>
      </c>
      <c r="C81">
        <v>-9.0902975487593504E-2</v>
      </c>
      <c r="D81">
        <v>-1</v>
      </c>
      <c r="E81">
        <f t="shared" si="5"/>
        <v>1</v>
      </c>
      <c r="F81">
        <f t="shared" si="6"/>
        <v>9.0902975487593504E-2</v>
      </c>
      <c r="G81">
        <f t="shared" si="7"/>
        <v>1</v>
      </c>
      <c r="H81">
        <f t="shared" si="8"/>
        <v>1</v>
      </c>
    </row>
    <row r="82" spans="1:8" x14ac:dyDescent="0.25">
      <c r="A82">
        <v>81</v>
      </c>
      <c r="B82" t="s">
        <v>82</v>
      </c>
      <c r="C82">
        <v>1.7851952156914201E-3</v>
      </c>
      <c r="D82">
        <v>0</v>
      </c>
      <c r="E82">
        <f t="shared" si="5"/>
        <v>0</v>
      </c>
      <c r="F82">
        <f t="shared" si="6"/>
        <v>0</v>
      </c>
      <c r="G82">
        <f t="shared" si="7"/>
        <v>0</v>
      </c>
      <c r="H82">
        <f t="shared" si="8"/>
        <v>0</v>
      </c>
    </row>
    <row r="83" spans="1:8" x14ac:dyDescent="0.25">
      <c r="A83">
        <v>82</v>
      </c>
      <c r="B83" t="s">
        <v>83</v>
      </c>
      <c r="C83">
        <v>1.33643197958862E-2</v>
      </c>
      <c r="D83">
        <v>1</v>
      </c>
      <c r="E83">
        <f t="shared" si="5"/>
        <v>1</v>
      </c>
      <c r="F83">
        <f t="shared" si="6"/>
        <v>1.33643197958862E-2</v>
      </c>
      <c r="G83">
        <f t="shared" si="7"/>
        <v>1</v>
      </c>
      <c r="H83">
        <f t="shared" si="8"/>
        <v>1</v>
      </c>
    </row>
    <row r="84" spans="1:8" x14ac:dyDescent="0.25">
      <c r="A84">
        <v>83</v>
      </c>
      <c r="B84" t="s">
        <v>84</v>
      </c>
      <c r="C84">
        <v>5.0297195311679796E-3</v>
      </c>
      <c r="D84">
        <v>-1</v>
      </c>
      <c r="E84">
        <f t="shared" si="5"/>
        <v>1</v>
      </c>
      <c r="F84">
        <f t="shared" si="6"/>
        <v>-5.0297195311679796E-3</v>
      </c>
      <c r="G84">
        <f t="shared" si="7"/>
        <v>0</v>
      </c>
      <c r="H84">
        <f t="shared" si="8"/>
        <v>0</v>
      </c>
    </row>
    <row r="85" spans="1:8" x14ac:dyDescent="0.25">
      <c r="A85">
        <v>84</v>
      </c>
      <c r="B85" t="s">
        <v>85</v>
      </c>
      <c r="C85">
        <v>-4.6307086644945698E-2</v>
      </c>
      <c r="D85">
        <v>1</v>
      </c>
      <c r="E85">
        <f t="shared" si="5"/>
        <v>1</v>
      </c>
      <c r="F85">
        <f t="shared" si="6"/>
        <v>-4.6307086644945698E-2</v>
      </c>
      <c r="G85">
        <f t="shared" si="7"/>
        <v>0</v>
      </c>
      <c r="H85">
        <f t="shared" si="8"/>
        <v>0</v>
      </c>
    </row>
    <row r="86" spans="1:8" x14ac:dyDescent="0.25">
      <c r="A86">
        <v>85</v>
      </c>
      <c r="B86" t="s">
        <v>86</v>
      </c>
      <c r="C86">
        <v>2.1601798296943898E-2</v>
      </c>
      <c r="D86">
        <v>-1</v>
      </c>
      <c r="E86">
        <f t="shared" si="5"/>
        <v>1</v>
      </c>
      <c r="F86">
        <f t="shared" si="6"/>
        <v>-2.1601798296943898E-2</v>
      </c>
      <c r="G86">
        <f t="shared" si="7"/>
        <v>0</v>
      </c>
      <c r="H86">
        <f t="shared" si="8"/>
        <v>0</v>
      </c>
    </row>
    <row r="87" spans="1:8" x14ac:dyDescent="0.25">
      <c r="A87">
        <v>86</v>
      </c>
      <c r="B87" t="s">
        <v>87</v>
      </c>
      <c r="C87">
        <v>7.2246326487118998E-2</v>
      </c>
      <c r="D87">
        <v>1</v>
      </c>
      <c r="E87">
        <f t="shared" si="5"/>
        <v>1</v>
      </c>
      <c r="F87">
        <f t="shared" si="6"/>
        <v>7.2246326487118998E-2</v>
      </c>
      <c r="G87">
        <f t="shared" si="7"/>
        <v>1</v>
      </c>
      <c r="H87">
        <f t="shared" si="8"/>
        <v>1</v>
      </c>
    </row>
    <row r="88" spans="1:8" x14ac:dyDescent="0.25">
      <c r="A88">
        <v>87</v>
      </c>
      <c r="B88" t="s">
        <v>88</v>
      </c>
      <c r="C88">
        <v>3.37802102904841E-2</v>
      </c>
      <c r="D88">
        <v>1</v>
      </c>
      <c r="E88">
        <f t="shared" si="5"/>
        <v>1</v>
      </c>
      <c r="F88">
        <f t="shared" si="6"/>
        <v>3.37802102904841E-2</v>
      </c>
      <c r="G88">
        <f t="shared" si="7"/>
        <v>1</v>
      </c>
      <c r="H88">
        <f t="shared" si="8"/>
        <v>1</v>
      </c>
    </row>
    <row r="89" spans="1:8" x14ac:dyDescent="0.25">
      <c r="A89">
        <v>88</v>
      </c>
      <c r="B89" t="s">
        <v>89</v>
      </c>
      <c r="C89">
        <v>-5.2427608610379102E-2</v>
      </c>
      <c r="D89">
        <v>1</v>
      </c>
      <c r="E89">
        <f t="shared" si="5"/>
        <v>1</v>
      </c>
      <c r="F89">
        <f t="shared" si="6"/>
        <v>-5.2427608610379102E-2</v>
      </c>
      <c r="G89">
        <f t="shared" si="7"/>
        <v>0</v>
      </c>
      <c r="H89">
        <f t="shared" si="8"/>
        <v>0</v>
      </c>
    </row>
    <row r="90" spans="1:8" x14ac:dyDescent="0.25">
      <c r="A90">
        <v>89</v>
      </c>
      <c r="B90" t="s">
        <v>90</v>
      </c>
      <c r="C90">
        <v>-2.5041589339907501E-2</v>
      </c>
      <c r="D90">
        <v>-1</v>
      </c>
      <c r="E90">
        <f t="shared" si="5"/>
        <v>1</v>
      </c>
      <c r="F90">
        <f t="shared" si="6"/>
        <v>2.5041589339907501E-2</v>
      </c>
      <c r="G90">
        <f t="shared" si="7"/>
        <v>1</v>
      </c>
      <c r="H90">
        <f t="shared" si="8"/>
        <v>1</v>
      </c>
    </row>
    <row r="91" spans="1:8" x14ac:dyDescent="0.25">
      <c r="A91">
        <v>90</v>
      </c>
      <c r="B91" t="s">
        <v>91</v>
      </c>
      <c r="C91">
        <v>2.8793257162191301E-2</v>
      </c>
      <c r="D91">
        <v>1</v>
      </c>
      <c r="E91">
        <f t="shared" si="5"/>
        <v>1</v>
      </c>
      <c r="F91">
        <f t="shared" si="6"/>
        <v>2.8793257162191301E-2</v>
      </c>
      <c r="G91">
        <f t="shared" si="7"/>
        <v>1</v>
      </c>
      <c r="H91">
        <f t="shared" si="8"/>
        <v>1</v>
      </c>
    </row>
    <row r="92" spans="1:8" x14ac:dyDescent="0.25">
      <c r="A92">
        <v>91</v>
      </c>
      <c r="B92" t="s">
        <v>92</v>
      </c>
      <c r="C92">
        <v>-2.24172430062923E-2</v>
      </c>
      <c r="D92">
        <v>1</v>
      </c>
      <c r="E92">
        <f t="shared" si="5"/>
        <v>1</v>
      </c>
      <c r="F92">
        <f t="shared" si="6"/>
        <v>-2.24172430062923E-2</v>
      </c>
      <c r="G92">
        <f t="shared" si="7"/>
        <v>0</v>
      </c>
      <c r="H92">
        <f t="shared" si="8"/>
        <v>0</v>
      </c>
    </row>
    <row r="93" spans="1:8" x14ac:dyDescent="0.25">
      <c r="A93">
        <v>92</v>
      </c>
      <c r="B93" t="s">
        <v>93</v>
      </c>
      <c r="C93">
        <v>-0.10239834715568299</v>
      </c>
      <c r="D93">
        <v>1</v>
      </c>
      <c r="E93">
        <f t="shared" si="5"/>
        <v>1</v>
      </c>
      <c r="F93">
        <f t="shared" si="6"/>
        <v>-0.10239834715568299</v>
      </c>
      <c r="G93">
        <f t="shared" si="7"/>
        <v>0</v>
      </c>
      <c r="H93">
        <f t="shared" si="8"/>
        <v>0</v>
      </c>
    </row>
    <row r="94" spans="1:8" x14ac:dyDescent="0.25">
      <c r="A94">
        <v>93</v>
      </c>
      <c r="B94" t="s">
        <v>94</v>
      </c>
      <c r="C94">
        <v>4.6599858352524899E-2</v>
      </c>
      <c r="D94">
        <v>1</v>
      </c>
      <c r="E94">
        <f t="shared" si="5"/>
        <v>1</v>
      </c>
      <c r="F94">
        <f t="shared" si="6"/>
        <v>4.6599858352524899E-2</v>
      </c>
      <c r="G94">
        <f t="shared" si="7"/>
        <v>1</v>
      </c>
      <c r="H94">
        <f t="shared" si="8"/>
        <v>1</v>
      </c>
    </row>
    <row r="95" spans="1:8" x14ac:dyDescent="0.25">
      <c r="A95">
        <v>94</v>
      </c>
      <c r="B95" t="s">
        <v>95</v>
      </c>
      <c r="C95">
        <v>-4.7752941341619601E-2</v>
      </c>
      <c r="D95">
        <v>-1</v>
      </c>
      <c r="E95">
        <f t="shared" si="5"/>
        <v>1</v>
      </c>
      <c r="F95">
        <f t="shared" si="6"/>
        <v>4.7752941341619601E-2</v>
      </c>
      <c r="G95">
        <f t="shared" si="7"/>
        <v>1</v>
      </c>
      <c r="H95">
        <f t="shared" si="8"/>
        <v>1</v>
      </c>
    </row>
    <row r="96" spans="1:8" x14ac:dyDescent="0.25">
      <c r="A96">
        <v>95</v>
      </c>
      <c r="B96" t="s">
        <v>96</v>
      </c>
      <c r="C96">
        <v>-1.50714890531141E-2</v>
      </c>
      <c r="D96">
        <v>1</v>
      </c>
      <c r="E96">
        <f t="shared" si="5"/>
        <v>1</v>
      </c>
      <c r="F96">
        <f t="shared" si="6"/>
        <v>-1.50714890531141E-2</v>
      </c>
      <c r="G96">
        <f t="shared" si="7"/>
        <v>0</v>
      </c>
      <c r="H96">
        <f t="shared" si="8"/>
        <v>0</v>
      </c>
    </row>
    <row r="97" spans="1:8" x14ac:dyDescent="0.25">
      <c r="A97">
        <v>96</v>
      </c>
      <c r="B97" t="s">
        <v>97</v>
      </c>
      <c r="C97">
        <v>6.9192434578755499E-2</v>
      </c>
      <c r="D97">
        <v>-1</v>
      </c>
      <c r="E97">
        <f t="shared" si="5"/>
        <v>1</v>
      </c>
      <c r="F97">
        <f t="shared" si="6"/>
        <v>-6.9192434578755499E-2</v>
      </c>
      <c r="G97">
        <f t="shared" si="7"/>
        <v>0</v>
      </c>
      <c r="H97">
        <f t="shared" si="8"/>
        <v>0</v>
      </c>
    </row>
    <row r="98" spans="1:8" x14ac:dyDescent="0.25">
      <c r="A98">
        <v>97</v>
      </c>
      <c r="B98" t="s">
        <v>98</v>
      </c>
      <c r="C98">
        <v>-1.6833916550104501E-2</v>
      </c>
      <c r="D98">
        <v>1</v>
      </c>
      <c r="E98">
        <f t="shared" si="5"/>
        <v>1</v>
      </c>
      <c r="F98">
        <f t="shared" si="6"/>
        <v>-1.6833916550104501E-2</v>
      </c>
      <c r="G98">
        <f t="shared" si="7"/>
        <v>0</v>
      </c>
      <c r="H98">
        <f t="shared" si="8"/>
        <v>0</v>
      </c>
    </row>
    <row r="99" spans="1:8" x14ac:dyDescent="0.25">
      <c r="A99">
        <v>98</v>
      </c>
      <c r="B99" t="s">
        <v>99</v>
      </c>
      <c r="C99">
        <v>5.7612683271316703E-2</v>
      </c>
      <c r="D99">
        <v>1</v>
      </c>
      <c r="E99">
        <f t="shared" si="5"/>
        <v>1</v>
      </c>
      <c r="F99">
        <f t="shared" si="6"/>
        <v>5.7612683271316703E-2</v>
      </c>
      <c r="G99">
        <f t="shared" si="7"/>
        <v>1</v>
      </c>
      <c r="H99">
        <f t="shared" si="8"/>
        <v>1</v>
      </c>
    </row>
    <row r="100" spans="1:8" x14ac:dyDescent="0.25">
      <c r="A100">
        <v>99</v>
      </c>
      <c r="B100" t="s">
        <v>100</v>
      </c>
      <c r="C100">
        <v>-6.53911475319435E-2</v>
      </c>
      <c r="D100">
        <v>-1</v>
      </c>
      <c r="E100">
        <f t="shared" si="5"/>
        <v>1</v>
      </c>
      <c r="F100">
        <f t="shared" si="6"/>
        <v>6.53911475319435E-2</v>
      </c>
      <c r="G100">
        <f t="shared" si="7"/>
        <v>1</v>
      </c>
      <c r="H100">
        <f t="shared" si="8"/>
        <v>1</v>
      </c>
    </row>
    <row r="101" spans="1:8" x14ac:dyDescent="0.25">
      <c r="A101">
        <v>100</v>
      </c>
      <c r="B101" t="s">
        <v>101</v>
      </c>
      <c r="C101">
        <v>-2.7991329156766699E-2</v>
      </c>
      <c r="D101">
        <v>-1</v>
      </c>
      <c r="E101">
        <f t="shared" si="5"/>
        <v>1</v>
      </c>
      <c r="F101">
        <f t="shared" si="6"/>
        <v>2.7991329156766699E-2</v>
      </c>
      <c r="G101">
        <f t="shared" si="7"/>
        <v>1</v>
      </c>
      <c r="H101">
        <f t="shared" si="8"/>
        <v>1</v>
      </c>
    </row>
    <row r="102" spans="1:8" x14ac:dyDescent="0.25">
      <c r="A102">
        <v>101</v>
      </c>
      <c r="B102" t="s">
        <v>102</v>
      </c>
      <c r="C102">
        <v>-1.0781866593816899E-2</v>
      </c>
      <c r="D102">
        <v>-1</v>
      </c>
      <c r="E102">
        <f t="shared" si="5"/>
        <v>1</v>
      </c>
      <c r="F102">
        <f t="shared" si="6"/>
        <v>1.0781866593816899E-2</v>
      </c>
      <c r="G102">
        <f t="shared" si="7"/>
        <v>1</v>
      </c>
      <c r="H102">
        <f t="shared" si="8"/>
        <v>1</v>
      </c>
    </row>
    <row r="103" spans="1:8" x14ac:dyDescent="0.25">
      <c r="A103">
        <v>102</v>
      </c>
      <c r="B103" t="s">
        <v>103</v>
      </c>
      <c r="C103">
        <v>-5.5863734129652502E-2</v>
      </c>
      <c r="D103">
        <v>1</v>
      </c>
      <c r="E103">
        <f t="shared" si="5"/>
        <v>1</v>
      </c>
      <c r="F103">
        <f t="shared" si="6"/>
        <v>-5.5863734129652502E-2</v>
      </c>
      <c r="G103">
        <f t="shared" si="7"/>
        <v>0</v>
      </c>
      <c r="H103">
        <f t="shared" si="8"/>
        <v>0</v>
      </c>
    </row>
    <row r="104" spans="1:8" x14ac:dyDescent="0.25">
      <c r="A104">
        <v>103</v>
      </c>
      <c r="B104" t="s">
        <v>104</v>
      </c>
      <c r="C104">
        <v>-3.4204332030069201E-2</v>
      </c>
      <c r="D104">
        <v>-1</v>
      </c>
      <c r="E104">
        <f t="shared" si="5"/>
        <v>1</v>
      </c>
      <c r="F104">
        <f t="shared" si="6"/>
        <v>3.4204332030069201E-2</v>
      </c>
      <c r="G104">
        <f t="shared" si="7"/>
        <v>1</v>
      </c>
      <c r="H104">
        <f t="shared" si="8"/>
        <v>1</v>
      </c>
    </row>
    <row r="105" spans="1:8" x14ac:dyDescent="0.25">
      <c r="A105">
        <v>104</v>
      </c>
      <c r="B105" t="s">
        <v>105</v>
      </c>
      <c r="C105">
        <v>-4.9175036403930504E-3</v>
      </c>
      <c r="D105">
        <v>-1</v>
      </c>
      <c r="E105">
        <f t="shared" si="5"/>
        <v>1</v>
      </c>
      <c r="F105">
        <f t="shared" si="6"/>
        <v>4.9175036403930504E-3</v>
      </c>
      <c r="G105">
        <f t="shared" si="7"/>
        <v>1</v>
      </c>
      <c r="H105">
        <f t="shared" si="8"/>
        <v>1</v>
      </c>
    </row>
    <row r="106" spans="1:8" x14ac:dyDescent="0.25">
      <c r="A106">
        <v>105</v>
      </c>
      <c r="B106" t="s">
        <v>106</v>
      </c>
      <c r="C106">
        <v>2.4018612764046401E-2</v>
      </c>
      <c r="D106">
        <v>-1</v>
      </c>
      <c r="E106">
        <f t="shared" si="5"/>
        <v>1</v>
      </c>
      <c r="F106">
        <f t="shared" si="6"/>
        <v>-2.4018612764046401E-2</v>
      </c>
      <c r="G106">
        <f t="shared" si="7"/>
        <v>0</v>
      </c>
      <c r="H106">
        <f t="shared" si="8"/>
        <v>0</v>
      </c>
    </row>
    <row r="107" spans="1:8" x14ac:dyDescent="0.25">
      <c r="A107">
        <v>106</v>
      </c>
      <c r="B107" t="s">
        <v>107</v>
      </c>
      <c r="C107">
        <v>-8.2977604419344694E-2</v>
      </c>
      <c r="D107">
        <v>0</v>
      </c>
      <c r="E107">
        <f t="shared" si="5"/>
        <v>0</v>
      </c>
      <c r="F107">
        <f t="shared" si="6"/>
        <v>0</v>
      </c>
      <c r="G107">
        <f t="shared" si="7"/>
        <v>0</v>
      </c>
      <c r="H107">
        <f t="shared" si="8"/>
        <v>0</v>
      </c>
    </row>
    <row r="108" spans="1:8" x14ac:dyDescent="0.25">
      <c r="A108">
        <v>107</v>
      </c>
      <c r="B108" t="s">
        <v>108</v>
      </c>
      <c r="C108">
        <v>-2.5336756655134199E-2</v>
      </c>
      <c r="D108">
        <v>-1</v>
      </c>
      <c r="E108">
        <f t="shared" si="5"/>
        <v>1</v>
      </c>
      <c r="F108">
        <f t="shared" si="6"/>
        <v>2.5336756655134199E-2</v>
      </c>
      <c r="G108">
        <f t="shared" si="7"/>
        <v>1</v>
      </c>
      <c r="H108">
        <f t="shared" si="8"/>
        <v>1</v>
      </c>
    </row>
    <row r="109" spans="1:8" x14ac:dyDescent="0.25">
      <c r="A109">
        <v>108</v>
      </c>
      <c r="B109" t="s">
        <v>109</v>
      </c>
      <c r="C109">
        <v>2.11409025613928E-2</v>
      </c>
      <c r="D109">
        <v>-1</v>
      </c>
      <c r="E109">
        <f t="shared" si="5"/>
        <v>1</v>
      </c>
      <c r="F109">
        <f t="shared" si="6"/>
        <v>-2.11409025613928E-2</v>
      </c>
      <c r="G109">
        <f t="shared" si="7"/>
        <v>0</v>
      </c>
      <c r="H109">
        <f t="shared" si="8"/>
        <v>0</v>
      </c>
    </row>
    <row r="110" spans="1:8" x14ac:dyDescent="0.25">
      <c r="A110">
        <v>109</v>
      </c>
      <c r="B110" t="s">
        <v>110</v>
      </c>
      <c r="C110">
        <v>-3.0742723201757201E-2</v>
      </c>
      <c r="D110">
        <v>-1</v>
      </c>
      <c r="E110">
        <f t="shared" si="5"/>
        <v>1</v>
      </c>
      <c r="F110">
        <f t="shared" si="6"/>
        <v>3.0742723201757201E-2</v>
      </c>
      <c r="G110">
        <f t="shared" si="7"/>
        <v>1</v>
      </c>
      <c r="H110">
        <f t="shared" si="8"/>
        <v>1</v>
      </c>
    </row>
    <row r="111" spans="1:8" x14ac:dyDescent="0.25">
      <c r="A111">
        <v>110</v>
      </c>
      <c r="B111" t="s">
        <v>111</v>
      </c>
      <c r="C111">
        <v>2.05545621742548E-2</v>
      </c>
      <c r="D111">
        <v>1</v>
      </c>
      <c r="E111">
        <f t="shared" si="5"/>
        <v>1</v>
      </c>
      <c r="F111">
        <f t="shared" si="6"/>
        <v>2.05545621742548E-2</v>
      </c>
      <c r="G111">
        <f t="shared" si="7"/>
        <v>1</v>
      </c>
      <c r="H111">
        <f t="shared" si="8"/>
        <v>1</v>
      </c>
    </row>
    <row r="112" spans="1:8" x14ac:dyDescent="0.25">
      <c r="A112">
        <v>111</v>
      </c>
      <c r="B112" t="s">
        <v>112</v>
      </c>
      <c r="C112">
        <v>1.88579588771377E-2</v>
      </c>
      <c r="D112">
        <v>-1</v>
      </c>
      <c r="E112">
        <f t="shared" si="5"/>
        <v>1</v>
      </c>
      <c r="F112">
        <f t="shared" si="6"/>
        <v>-1.88579588771377E-2</v>
      </c>
      <c r="G112">
        <f t="shared" si="7"/>
        <v>0</v>
      </c>
      <c r="H112">
        <f t="shared" si="8"/>
        <v>0</v>
      </c>
    </row>
    <row r="113" spans="1:8" x14ac:dyDescent="0.25">
      <c r="A113">
        <v>112</v>
      </c>
      <c r="B113" t="s">
        <v>113</v>
      </c>
      <c r="C113">
        <v>1.94713939888345E-2</v>
      </c>
      <c r="D113">
        <v>1</v>
      </c>
      <c r="E113">
        <f t="shared" si="5"/>
        <v>1</v>
      </c>
      <c r="F113">
        <f t="shared" si="6"/>
        <v>1.94713939888345E-2</v>
      </c>
      <c r="G113">
        <f t="shared" si="7"/>
        <v>1</v>
      </c>
      <c r="H113">
        <f t="shared" si="8"/>
        <v>1</v>
      </c>
    </row>
    <row r="114" spans="1:8" x14ac:dyDescent="0.25">
      <c r="A114">
        <v>113</v>
      </c>
      <c r="B114" t="s">
        <v>114</v>
      </c>
      <c r="C114">
        <v>1.64840568906774E-2</v>
      </c>
      <c r="D114">
        <v>-1</v>
      </c>
      <c r="E114">
        <f t="shared" si="5"/>
        <v>1</v>
      </c>
      <c r="F114">
        <f t="shared" si="6"/>
        <v>-1.64840568906774E-2</v>
      </c>
      <c r="G114">
        <f t="shared" si="7"/>
        <v>0</v>
      </c>
      <c r="H114">
        <f t="shared" si="8"/>
        <v>0</v>
      </c>
    </row>
    <row r="115" spans="1:8" x14ac:dyDescent="0.25">
      <c r="A115">
        <v>114</v>
      </c>
      <c r="B115" t="s">
        <v>115</v>
      </c>
      <c r="C115">
        <v>-6.6910527041143999E-3</v>
      </c>
      <c r="D115">
        <v>-1</v>
      </c>
      <c r="E115">
        <f t="shared" si="5"/>
        <v>1</v>
      </c>
      <c r="F115">
        <f t="shared" si="6"/>
        <v>6.6910527041143999E-3</v>
      </c>
      <c r="G115">
        <f t="shared" si="7"/>
        <v>1</v>
      </c>
      <c r="H115">
        <f t="shared" si="8"/>
        <v>1</v>
      </c>
    </row>
    <row r="116" spans="1:8" x14ac:dyDescent="0.25">
      <c r="A116">
        <v>115</v>
      </c>
      <c r="B116" t="s">
        <v>116</v>
      </c>
      <c r="C116">
        <v>-1.54897536401714E-2</v>
      </c>
      <c r="D116">
        <v>1</v>
      </c>
      <c r="E116">
        <f t="shared" si="5"/>
        <v>1</v>
      </c>
      <c r="F116">
        <f t="shared" si="6"/>
        <v>-1.54897536401714E-2</v>
      </c>
      <c r="G116">
        <f t="shared" si="7"/>
        <v>0</v>
      </c>
      <c r="H116">
        <f t="shared" si="8"/>
        <v>0</v>
      </c>
    </row>
    <row r="117" spans="1:8" x14ac:dyDescent="0.25">
      <c r="A117">
        <v>116</v>
      </c>
      <c r="B117" t="s">
        <v>117</v>
      </c>
      <c r="C117">
        <v>-0.12914591397978201</v>
      </c>
      <c r="D117">
        <v>1</v>
      </c>
      <c r="E117">
        <f t="shared" si="5"/>
        <v>1</v>
      </c>
      <c r="F117">
        <f t="shared" si="6"/>
        <v>-0.12914591397978201</v>
      </c>
      <c r="G117">
        <f t="shared" si="7"/>
        <v>0</v>
      </c>
      <c r="H117">
        <f t="shared" si="8"/>
        <v>0</v>
      </c>
    </row>
    <row r="118" spans="1:8" x14ac:dyDescent="0.25">
      <c r="A118">
        <v>117</v>
      </c>
      <c r="B118" t="s">
        <v>118</v>
      </c>
      <c r="C118">
        <v>-3.59028898248417E-3</v>
      </c>
      <c r="D118">
        <v>1</v>
      </c>
      <c r="E118">
        <f t="shared" si="5"/>
        <v>1</v>
      </c>
      <c r="F118">
        <f t="shared" si="6"/>
        <v>-3.59028898248417E-3</v>
      </c>
      <c r="G118">
        <f t="shared" si="7"/>
        <v>0</v>
      </c>
      <c r="H118">
        <f t="shared" si="8"/>
        <v>0</v>
      </c>
    </row>
    <row r="119" spans="1:8" x14ac:dyDescent="0.25">
      <c r="A119">
        <v>118</v>
      </c>
      <c r="B119" t="s">
        <v>119</v>
      </c>
      <c r="C119">
        <v>1.51071747349456E-2</v>
      </c>
      <c r="D119">
        <v>-1</v>
      </c>
      <c r="E119">
        <f t="shared" si="5"/>
        <v>1</v>
      </c>
      <c r="F119">
        <f t="shared" si="6"/>
        <v>-1.51071747349456E-2</v>
      </c>
      <c r="G119">
        <f t="shared" si="7"/>
        <v>0</v>
      </c>
      <c r="H119">
        <f t="shared" si="8"/>
        <v>0</v>
      </c>
    </row>
    <row r="120" spans="1:8" x14ac:dyDescent="0.25">
      <c r="A120">
        <v>119</v>
      </c>
      <c r="B120" t="s">
        <v>120</v>
      </c>
      <c r="C120">
        <v>1.8272898583071701E-2</v>
      </c>
      <c r="D120">
        <v>-1</v>
      </c>
      <c r="E120">
        <f t="shared" si="5"/>
        <v>1</v>
      </c>
      <c r="F120">
        <f t="shared" si="6"/>
        <v>-1.8272898583071701E-2</v>
      </c>
      <c r="G120">
        <f t="shared" si="7"/>
        <v>0</v>
      </c>
      <c r="H120">
        <f t="shared" si="8"/>
        <v>0</v>
      </c>
    </row>
    <row r="121" spans="1:8" x14ac:dyDescent="0.25">
      <c r="A121">
        <v>120</v>
      </c>
      <c r="B121" t="s">
        <v>121</v>
      </c>
      <c r="C121">
        <v>-3.8005205471711698E-2</v>
      </c>
      <c r="D121">
        <v>-1</v>
      </c>
      <c r="E121">
        <f t="shared" si="5"/>
        <v>1</v>
      </c>
      <c r="F121">
        <f t="shared" si="6"/>
        <v>3.8005205471711698E-2</v>
      </c>
      <c r="G121">
        <f t="shared" si="7"/>
        <v>1</v>
      </c>
      <c r="H121">
        <f t="shared" si="8"/>
        <v>1</v>
      </c>
    </row>
    <row r="122" spans="1:8" x14ac:dyDescent="0.25">
      <c r="A122">
        <v>121</v>
      </c>
      <c r="B122" t="s">
        <v>122</v>
      </c>
      <c r="C122">
        <v>9.0151611459758696E-2</v>
      </c>
      <c r="D122">
        <v>1</v>
      </c>
      <c r="E122">
        <f t="shared" si="5"/>
        <v>1</v>
      </c>
      <c r="F122">
        <f t="shared" si="6"/>
        <v>9.0151611459758696E-2</v>
      </c>
      <c r="G122">
        <f t="shared" si="7"/>
        <v>1</v>
      </c>
      <c r="H122">
        <f t="shared" si="8"/>
        <v>1</v>
      </c>
    </row>
    <row r="123" spans="1:8" x14ac:dyDescent="0.25">
      <c r="A123">
        <v>122</v>
      </c>
      <c r="B123" t="s">
        <v>123</v>
      </c>
      <c r="C123">
        <v>4.84647483959321E-3</v>
      </c>
      <c r="D123">
        <v>-1</v>
      </c>
      <c r="E123">
        <f t="shared" si="5"/>
        <v>1</v>
      </c>
      <c r="F123">
        <f t="shared" si="6"/>
        <v>-4.84647483959321E-3</v>
      </c>
      <c r="G123">
        <f t="shared" si="7"/>
        <v>0</v>
      </c>
      <c r="H123">
        <f t="shared" si="8"/>
        <v>0</v>
      </c>
    </row>
    <row r="124" spans="1:8" x14ac:dyDescent="0.25">
      <c r="A124">
        <v>123</v>
      </c>
      <c r="B124" t="s">
        <v>124</v>
      </c>
      <c r="C124">
        <v>1.4102184859376E-3</v>
      </c>
      <c r="D124">
        <v>-1</v>
      </c>
      <c r="E124">
        <f t="shared" si="5"/>
        <v>1</v>
      </c>
      <c r="F124">
        <f t="shared" si="6"/>
        <v>-1.4102184859376E-3</v>
      </c>
      <c r="G124">
        <f t="shared" si="7"/>
        <v>0</v>
      </c>
      <c r="H124">
        <f t="shared" si="8"/>
        <v>0</v>
      </c>
    </row>
    <row r="125" spans="1:8" x14ac:dyDescent="0.25">
      <c r="A125">
        <v>124</v>
      </c>
      <c r="B125" t="s">
        <v>125</v>
      </c>
      <c r="C125">
        <v>6.10524170514435E-2</v>
      </c>
      <c r="D125">
        <v>-1</v>
      </c>
      <c r="E125">
        <f t="shared" si="5"/>
        <v>1</v>
      </c>
      <c r="F125">
        <f t="shared" si="6"/>
        <v>-6.10524170514435E-2</v>
      </c>
      <c r="G125">
        <f t="shared" si="7"/>
        <v>0</v>
      </c>
      <c r="H125">
        <f t="shared" si="8"/>
        <v>0</v>
      </c>
    </row>
    <row r="126" spans="1:8" x14ac:dyDescent="0.25">
      <c r="A126">
        <v>125</v>
      </c>
      <c r="B126" t="s">
        <v>126</v>
      </c>
      <c r="C126">
        <v>-1.7484691013640901E-2</v>
      </c>
      <c r="D126">
        <v>1</v>
      </c>
      <c r="E126">
        <f t="shared" si="5"/>
        <v>1</v>
      </c>
      <c r="F126">
        <f t="shared" si="6"/>
        <v>-1.7484691013640901E-2</v>
      </c>
      <c r="G126">
        <f t="shared" si="7"/>
        <v>0</v>
      </c>
      <c r="H126">
        <f t="shared" si="8"/>
        <v>0</v>
      </c>
    </row>
    <row r="127" spans="1:8" x14ac:dyDescent="0.25">
      <c r="A127">
        <v>126</v>
      </c>
      <c r="B127" t="s">
        <v>127</v>
      </c>
      <c r="C127">
        <v>-2.90364302131902E-2</v>
      </c>
      <c r="D127">
        <v>-1</v>
      </c>
      <c r="E127">
        <f t="shared" si="5"/>
        <v>1</v>
      </c>
      <c r="F127">
        <f t="shared" si="6"/>
        <v>2.90364302131902E-2</v>
      </c>
      <c r="G127">
        <f t="shared" si="7"/>
        <v>1</v>
      </c>
      <c r="H127">
        <f t="shared" si="8"/>
        <v>1</v>
      </c>
    </row>
    <row r="128" spans="1:8" x14ac:dyDescent="0.25">
      <c r="A128">
        <v>127</v>
      </c>
      <c r="B128" t="s">
        <v>128</v>
      </c>
      <c r="C128">
        <v>0.12222648972533701</v>
      </c>
      <c r="D128">
        <v>1</v>
      </c>
      <c r="E128">
        <f t="shared" si="5"/>
        <v>1</v>
      </c>
      <c r="F128">
        <f t="shared" si="6"/>
        <v>0.12222648972533701</v>
      </c>
      <c r="G128">
        <f t="shared" si="7"/>
        <v>1</v>
      </c>
      <c r="H128">
        <f t="shared" si="8"/>
        <v>1</v>
      </c>
    </row>
    <row r="129" spans="1:8" x14ac:dyDescent="0.25">
      <c r="A129">
        <v>128</v>
      </c>
      <c r="B129" t="s">
        <v>129</v>
      </c>
      <c r="C129">
        <v>1.33606785668151E-3</v>
      </c>
      <c r="D129">
        <v>1</v>
      </c>
      <c r="E129">
        <f t="shared" si="5"/>
        <v>1</v>
      </c>
      <c r="F129">
        <f t="shared" si="6"/>
        <v>1.33606785668151E-3</v>
      </c>
      <c r="G129">
        <f t="shared" si="7"/>
        <v>1</v>
      </c>
      <c r="H129">
        <f t="shared" si="8"/>
        <v>1</v>
      </c>
    </row>
    <row r="130" spans="1:8" x14ac:dyDescent="0.25">
      <c r="A130">
        <v>129</v>
      </c>
      <c r="B130" t="s">
        <v>130</v>
      </c>
      <c r="C130">
        <v>7.2059854729114095E-2</v>
      </c>
      <c r="D130">
        <v>-1</v>
      </c>
      <c r="E130">
        <f t="shared" si="5"/>
        <v>1</v>
      </c>
      <c r="F130">
        <f t="shared" si="6"/>
        <v>-7.2059854729114095E-2</v>
      </c>
      <c r="G130">
        <f t="shared" si="7"/>
        <v>0</v>
      </c>
      <c r="H130">
        <f t="shared" si="8"/>
        <v>0</v>
      </c>
    </row>
    <row r="131" spans="1:8" x14ac:dyDescent="0.25">
      <c r="A131">
        <v>130</v>
      </c>
      <c r="B131" t="s">
        <v>131</v>
      </c>
      <c r="C131">
        <v>-7.2638413106962105E-2</v>
      </c>
      <c r="D131">
        <v>-1</v>
      </c>
      <c r="E131">
        <f t="shared" ref="E131:E194" si="9">IF(OR(D131=1,D131=-1),1,0)</f>
        <v>1</v>
      </c>
      <c r="F131">
        <f t="shared" ref="F131:F194" si="10">C131*D131</f>
        <v>7.2638413106962105E-2</v>
      </c>
      <c r="G131">
        <f t="shared" ref="G131:G194" si="11">IF(F131&gt;0,1,0)</f>
        <v>1</v>
      </c>
      <c r="H131">
        <f t="shared" ref="H131:H194" si="12">E131*G131</f>
        <v>1</v>
      </c>
    </row>
    <row r="132" spans="1:8" x14ac:dyDescent="0.25">
      <c r="A132">
        <v>131</v>
      </c>
      <c r="B132" t="s">
        <v>132</v>
      </c>
      <c r="C132">
        <v>4.9196684820884198E-3</v>
      </c>
      <c r="D132">
        <v>1</v>
      </c>
      <c r="E132">
        <f t="shared" si="9"/>
        <v>1</v>
      </c>
      <c r="F132">
        <f t="shared" si="10"/>
        <v>4.9196684820884198E-3</v>
      </c>
      <c r="G132">
        <f t="shared" si="11"/>
        <v>1</v>
      </c>
      <c r="H132">
        <f t="shared" si="12"/>
        <v>1</v>
      </c>
    </row>
    <row r="133" spans="1:8" x14ac:dyDescent="0.25">
      <c r="A133">
        <v>132</v>
      </c>
      <c r="B133" t="s">
        <v>133</v>
      </c>
      <c r="C133">
        <v>2.3436235712633698E-2</v>
      </c>
      <c r="D133">
        <v>1</v>
      </c>
      <c r="E133">
        <f t="shared" si="9"/>
        <v>1</v>
      </c>
      <c r="F133">
        <f t="shared" si="10"/>
        <v>2.3436235712633698E-2</v>
      </c>
      <c r="G133">
        <f t="shared" si="11"/>
        <v>1</v>
      </c>
      <c r="H133">
        <f t="shared" si="12"/>
        <v>1</v>
      </c>
    </row>
    <row r="134" spans="1:8" x14ac:dyDescent="0.25">
      <c r="A134">
        <v>133</v>
      </c>
      <c r="B134" t="s">
        <v>134</v>
      </c>
      <c r="C134">
        <v>1.54142564802193E-2</v>
      </c>
      <c r="D134">
        <v>0</v>
      </c>
      <c r="E134">
        <f t="shared" si="9"/>
        <v>0</v>
      </c>
      <c r="F134">
        <f t="shared" si="10"/>
        <v>0</v>
      </c>
      <c r="G134">
        <f t="shared" si="11"/>
        <v>0</v>
      </c>
      <c r="H134">
        <f t="shared" si="12"/>
        <v>0</v>
      </c>
    </row>
    <row r="135" spans="1:8" x14ac:dyDescent="0.25">
      <c r="A135">
        <v>134</v>
      </c>
      <c r="B135" t="s">
        <v>135</v>
      </c>
      <c r="C135">
        <v>-5.4506781298938101E-2</v>
      </c>
      <c r="D135">
        <v>-1</v>
      </c>
      <c r="E135">
        <f t="shared" si="9"/>
        <v>1</v>
      </c>
      <c r="F135">
        <f t="shared" si="10"/>
        <v>5.4506781298938101E-2</v>
      </c>
      <c r="G135">
        <f t="shared" si="11"/>
        <v>1</v>
      </c>
      <c r="H135">
        <f t="shared" si="12"/>
        <v>1</v>
      </c>
    </row>
    <row r="136" spans="1:8" x14ac:dyDescent="0.25">
      <c r="A136">
        <v>135</v>
      </c>
      <c r="B136" t="s">
        <v>136</v>
      </c>
      <c r="C136">
        <v>-1.9569508484136602E-2</v>
      </c>
      <c r="D136">
        <v>-1</v>
      </c>
      <c r="E136">
        <f t="shared" si="9"/>
        <v>1</v>
      </c>
      <c r="F136">
        <f t="shared" si="10"/>
        <v>1.9569508484136602E-2</v>
      </c>
      <c r="G136">
        <f t="shared" si="11"/>
        <v>1</v>
      </c>
      <c r="H136">
        <f t="shared" si="12"/>
        <v>1</v>
      </c>
    </row>
    <row r="137" spans="1:8" x14ac:dyDescent="0.25">
      <c r="A137">
        <v>136</v>
      </c>
      <c r="B137" t="s">
        <v>137</v>
      </c>
      <c r="C137">
        <v>-4.2557660521457298E-2</v>
      </c>
      <c r="D137">
        <v>1</v>
      </c>
      <c r="E137">
        <f t="shared" si="9"/>
        <v>1</v>
      </c>
      <c r="F137">
        <f t="shared" si="10"/>
        <v>-4.2557660521457298E-2</v>
      </c>
      <c r="G137">
        <f t="shared" si="11"/>
        <v>0</v>
      </c>
      <c r="H137">
        <f t="shared" si="12"/>
        <v>0</v>
      </c>
    </row>
    <row r="138" spans="1:8" x14ac:dyDescent="0.25">
      <c r="A138">
        <v>137</v>
      </c>
      <c r="B138" t="s">
        <v>138</v>
      </c>
      <c r="C138">
        <v>2.10287655529659E-2</v>
      </c>
      <c r="D138">
        <v>-1</v>
      </c>
      <c r="E138">
        <f t="shared" si="9"/>
        <v>1</v>
      </c>
      <c r="F138">
        <f t="shared" si="10"/>
        <v>-2.10287655529659E-2</v>
      </c>
      <c r="G138">
        <f t="shared" si="11"/>
        <v>0</v>
      </c>
      <c r="H138">
        <f t="shared" si="12"/>
        <v>0</v>
      </c>
    </row>
    <row r="139" spans="1:8" x14ac:dyDescent="0.25">
      <c r="A139">
        <v>138</v>
      </c>
      <c r="B139" t="s">
        <v>139</v>
      </c>
      <c r="C139">
        <v>6.1638229601805601E-2</v>
      </c>
      <c r="D139">
        <v>1</v>
      </c>
      <c r="E139">
        <f t="shared" si="9"/>
        <v>1</v>
      </c>
      <c r="F139">
        <f t="shared" si="10"/>
        <v>6.1638229601805601E-2</v>
      </c>
      <c r="G139">
        <f t="shared" si="11"/>
        <v>1</v>
      </c>
      <c r="H139">
        <f t="shared" si="12"/>
        <v>1</v>
      </c>
    </row>
    <row r="140" spans="1:8" x14ac:dyDescent="0.25">
      <c r="A140">
        <v>139</v>
      </c>
      <c r="B140" t="s">
        <v>140</v>
      </c>
      <c r="C140">
        <v>-9.2158349132195796E-2</v>
      </c>
      <c r="D140">
        <v>1</v>
      </c>
      <c r="E140">
        <f t="shared" si="9"/>
        <v>1</v>
      </c>
      <c r="F140">
        <f t="shared" si="10"/>
        <v>-9.2158349132195796E-2</v>
      </c>
      <c r="G140">
        <f t="shared" si="11"/>
        <v>0</v>
      </c>
      <c r="H140">
        <f t="shared" si="12"/>
        <v>0</v>
      </c>
    </row>
    <row r="141" spans="1:8" x14ac:dyDescent="0.25">
      <c r="A141">
        <v>140</v>
      </c>
      <c r="B141" t="s">
        <v>141</v>
      </c>
      <c r="C141">
        <v>4.7345741505289203E-2</v>
      </c>
      <c r="D141">
        <v>-1</v>
      </c>
      <c r="E141">
        <f t="shared" si="9"/>
        <v>1</v>
      </c>
      <c r="F141">
        <f t="shared" si="10"/>
        <v>-4.7345741505289203E-2</v>
      </c>
      <c r="G141">
        <f t="shared" si="11"/>
        <v>0</v>
      </c>
      <c r="H141">
        <f t="shared" si="12"/>
        <v>0</v>
      </c>
    </row>
    <row r="142" spans="1:8" x14ac:dyDescent="0.25">
      <c r="A142">
        <v>141</v>
      </c>
      <c r="B142" t="s">
        <v>142</v>
      </c>
      <c r="C142">
        <v>-5.50343814866774E-2</v>
      </c>
      <c r="D142">
        <v>1</v>
      </c>
      <c r="E142">
        <f t="shared" si="9"/>
        <v>1</v>
      </c>
      <c r="F142">
        <f t="shared" si="10"/>
        <v>-5.50343814866774E-2</v>
      </c>
      <c r="G142">
        <f t="shared" si="11"/>
        <v>0</v>
      </c>
      <c r="H142">
        <f t="shared" si="12"/>
        <v>0</v>
      </c>
    </row>
    <row r="143" spans="1:8" x14ac:dyDescent="0.25">
      <c r="A143">
        <v>142</v>
      </c>
      <c r="B143" t="s">
        <v>143</v>
      </c>
      <c r="C143">
        <v>2.0116488555107E-2</v>
      </c>
      <c r="D143">
        <v>-1</v>
      </c>
      <c r="E143">
        <f t="shared" si="9"/>
        <v>1</v>
      </c>
      <c r="F143">
        <f t="shared" si="10"/>
        <v>-2.0116488555107E-2</v>
      </c>
      <c r="G143">
        <f t="shared" si="11"/>
        <v>0</v>
      </c>
      <c r="H143">
        <f t="shared" si="12"/>
        <v>0</v>
      </c>
    </row>
    <row r="144" spans="1:8" x14ac:dyDescent="0.25">
      <c r="A144">
        <v>143</v>
      </c>
      <c r="B144" t="s">
        <v>144</v>
      </c>
      <c r="C144">
        <v>1.7273690315675501E-2</v>
      </c>
      <c r="D144">
        <v>-1</v>
      </c>
      <c r="E144">
        <f t="shared" si="9"/>
        <v>1</v>
      </c>
      <c r="F144">
        <f t="shared" si="10"/>
        <v>-1.7273690315675501E-2</v>
      </c>
      <c r="G144">
        <f t="shared" si="11"/>
        <v>0</v>
      </c>
      <c r="H144">
        <f t="shared" si="12"/>
        <v>0</v>
      </c>
    </row>
    <row r="145" spans="1:8" x14ac:dyDescent="0.25">
      <c r="A145">
        <v>144</v>
      </c>
      <c r="B145" t="s">
        <v>145</v>
      </c>
      <c r="C145">
        <v>-2.51411679428892E-2</v>
      </c>
      <c r="D145">
        <v>-1</v>
      </c>
      <c r="E145">
        <f t="shared" si="9"/>
        <v>1</v>
      </c>
      <c r="F145">
        <f t="shared" si="10"/>
        <v>2.51411679428892E-2</v>
      </c>
      <c r="G145">
        <f t="shared" si="11"/>
        <v>1</v>
      </c>
      <c r="H145">
        <f t="shared" si="12"/>
        <v>1</v>
      </c>
    </row>
    <row r="146" spans="1:8" x14ac:dyDescent="0.25">
      <c r="A146">
        <v>145</v>
      </c>
      <c r="B146" t="s">
        <v>146</v>
      </c>
      <c r="C146">
        <v>-4.8271059578735502E-2</v>
      </c>
      <c r="D146">
        <v>-1</v>
      </c>
      <c r="E146">
        <f t="shared" si="9"/>
        <v>1</v>
      </c>
      <c r="F146">
        <f t="shared" si="10"/>
        <v>4.8271059578735502E-2</v>
      </c>
      <c r="G146">
        <f t="shared" si="11"/>
        <v>1</v>
      </c>
      <c r="H146">
        <f t="shared" si="12"/>
        <v>1</v>
      </c>
    </row>
    <row r="147" spans="1:8" x14ac:dyDescent="0.25">
      <c r="A147">
        <v>146</v>
      </c>
      <c r="B147" t="s">
        <v>147</v>
      </c>
      <c r="C147">
        <v>2.9569858403994801E-3</v>
      </c>
      <c r="D147">
        <v>-1</v>
      </c>
      <c r="E147">
        <f t="shared" si="9"/>
        <v>1</v>
      </c>
      <c r="F147">
        <f t="shared" si="10"/>
        <v>-2.9569858403994801E-3</v>
      </c>
      <c r="G147">
        <f t="shared" si="11"/>
        <v>0</v>
      </c>
      <c r="H147">
        <f t="shared" si="12"/>
        <v>0</v>
      </c>
    </row>
    <row r="148" spans="1:8" x14ac:dyDescent="0.25">
      <c r="A148">
        <v>147</v>
      </c>
      <c r="B148" t="s">
        <v>148</v>
      </c>
      <c r="C148">
        <v>7.3233791857636897E-3</v>
      </c>
      <c r="D148">
        <v>-1</v>
      </c>
      <c r="E148">
        <f t="shared" si="9"/>
        <v>1</v>
      </c>
      <c r="F148">
        <f t="shared" si="10"/>
        <v>-7.3233791857636897E-3</v>
      </c>
      <c r="G148">
        <f t="shared" si="11"/>
        <v>0</v>
      </c>
      <c r="H148">
        <f t="shared" si="12"/>
        <v>0</v>
      </c>
    </row>
    <row r="149" spans="1:8" x14ac:dyDescent="0.25">
      <c r="A149">
        <v>148</v>
      </c>
      <c r="B149" t="s">
        <v>149</v>
      </c>
      <c r="C149">
        <v>5.1044308727193503E-2</v>
      </c>
      <c r="D149">
        <v>1</v>
      </c>
      <c r="E149">
        <f t="shared" si="9"/>
        <v>1</v>
      </c>
      <c r="F149">
        <f t="shared" si="10"/>
        <v>5.1044308727193503E-2</v>
      </c>
      <c r="G149">
        <f t="shared" si="11"/>
        <v>1</v>
      </c>
      <c r="H149">
        <f t="shared" si="12"/>
        <v>1</v>
      </c>
    </row>
    <row r="150" spans="1:8" x14ac:dyDescent="0.25">
      <c r="A150">
        <v>149</v>
      </c>
      <c r="B150" t="s">
        <v>150</v>
      </c>
      <c r="C150">
        <v>-8.1615759789840897E-2</v>
      </c>
      <c r="D150">
        <v>1</v>
      </c>
      <c r="E150">
        <f t="shared" si="9"/>
        <v>1</v>
      </c>
      <c r="F150">
        <f t="shared" si="10"/>
        <v>-8.1615759789840897E-2</v>
      </c>
      <c r="G150">
        <f t="shared" si="11"/>
        <v>0</v>
      </c>
      <c r="H150">
        <f t="shared" si="12"/>
        <v>0</v>
      </c>
    </row>
    <row r="151" spans="1:8" x14ac:dyDescent="0.25">
      <c r="A151">
        <v>150</v>
      </c>
      <c r="B151" t="s">
        <v>151</v>
      </c>
      <c r="C151">
        <v>-9.4689268163303003E-2</v>
      </c>
      <c r="D151">
        <v>-1</v>
      </c>
      <c r="E151">
        <f t="shared" si="9"/>
        <v>1</v>
      </c>
      <c r="F151">
        <f t="shared" si="10"/>
        <v>9.4689268163303003E-2</v>
      </c>
      <c r="G151">
        <f t="shared" si="11"/>
        <v>1</v>
      </c>
      <c r="H151">
        <f t="shared" si="12"/>
        <v>1</v>
      </c>
    </row>
    <row r="152" spans="1:8" x14ac:dyDescent="0.25">
      <c r="A152">
        <v>151</v>
      </c>
      <c r="B152" t="s">
        <v>152</v>
      </c>
      <c r="C152">
        <v>7.9397505534160903E-2</v>
      </c>
      <c r="D152">
        <v>1</v>
      </c>
      <c r="E152">
        <f t="shared" si="9"/>
        <v>1</v>
      </c>
      <c r="F152">
        <f t="shared" si="10"/>
        <v>7.9397505534160903E-2</v>
      </c>
      <c r="G152">
        <f t="shared" si="11"/>
        <v>1</v>
      </c>
      <c r="H152">
        <f t="shared" si="12"/>
        <v>1</v>
      </c>
    </row>
    <row r="153" spans="1:8" x14ac:dyDescent="0.25">
      <c r="A153">
        <v>152</v>
      </c>
      <c r="B153" t="s">
        <v>153</v>
      </c>
      <c r="C153">
        <v>6.0021864765586401E-2</v>
      </c>
      <c r="D153">
        <v>1</v>
      </c>
      <c r="E153">
        <f t="shared" si="9"/>
        <v>1</v>
      </c>
      <c r="F153">
        <f t="shared" si="10"/>
        <v>6.0021864765586401E-2</v>
      </c>
      <c r="G153">
        <f t="shared" si="11"/>
        <v>1</v>
      </c>
      <c r="H153">
        <f t="shared" si="12"/>
        <v>1</v>
      </c>
    </row>
    <row r="154" spans="1:8" x14ac:dyDescent="0.25">
      <c r="A154">
        <v>153</v>
      </c>
      <c r="B154" t="s">
        <v>154</v>
      </c>
      <c r="C154">
        <v>2.50864732348853E-2</v>
      </c>
      <c r="D154">
        <v>1</v>
      </c>
      <c r="E154">
        <f t="shared" si="9"/>
        <v>1</v>
      </c>
      <c r="F154">
        <f t="shared" si="10"/>
        <v>2.50864732348853E-2</v>
      </c>
      <c r="G154">
        <f t="shared" si="11"/>
        <v>1</v>
      </c>
      <c r="H154">
        <f t="shared" si="12"/>
        <v>1</v>
      </c>
    </row>
    <row r="155" spans="1:8" x14ac:dyDescent="0.25">
      <c r="A155">
        <v>154</v>
      </c>
      <c r="B155" t="s">
        <v>155</v>
      </c>
      <c r="C155">
        <v>2.5675154272782899E-2</v>
      </c>
      <c r="D155">
        <v>-1</v>
      </c>
      <c r="E155">
        <f t="shared" si="9"/>
        <v>1</v>
      </c>
      <c r="F155">
        <f t="shared" si="10"/>
        <v>-2.5675154272782899E-2</v>
      </c>
      <c r="G155">
        <f t="shared" si="11"/>
        <v>0</v>
      </c>
      <c r="H155">
        <f t="shared" si="12"/>
        <v>0</v>
      </c>
    </row>
    <row r="156" spans="1:8" x14ac:dyDescent="0.25">
      <c r="A156">
        <v>155</v>
      </c>
      <c r="B156" t="s">
        <v>156</v>
      </c>
      <c r="C156">
        <v>4.4664219815743603E-2</v>
      </c>
      <c r="D156">
        <v>-1</v>
      </c>
      <c r="E156">
        <f t="shared" si="9"/>
        <v>1</v>
      </c>
      <c r="F156">
        <f t="shared" si="10"/>
        <v>-4.4664219815743603E-2</v>
      </c>
      <c r="G156">
        <f t="shared" si="11"/>
        <v>0</v>
      </c>
      <c r="H156">
        <f t="shared" si="12"/>
        <v>0</v>
      </c>
    </row>
    <row r="157" spans="1:8" x14ac:dyDescent="0.25">
      <c r="A157">
        <v>156</v>
      </c>
      <c r="B157" t="s">
        <v>157</v>
      </c>
      <c r="C157">
        <v>-0.13585009327498701</v>
      </c>
      <c r="D157">
        <v>-1</v>
      </c>
      <c r="E157">
        <f t="shared" si="9"/>
        <v>1</v>
      </c>
      <c r="F157">
        <f t="shared" si="10"/>
        <v>0.13585009327498701</v>
      </c>
      <c r="G157">
        <f t="shared" si="11"/>
        <v>1</v>
      </c>
      <c r="H157">
        <f t="shared" si="12"/>
        <v>1</v>
      </c>
    </row>
    <row r="158" spans="1:8" x14ac:dyDescent="0.25">
      <c r="A158">
        <v>157</v>
      </c>
      <c r="B158" t="s">
        <v>158</v>
      </c>
      <c r="C158">
        <v>6.1143750164145798E-2</v>
      </c>
      <c r="D158">
        <v>1</v>
      </c>
      <c r="E158">
        <f t="shared" si="9"/>
        <v>1</v>
      </c>
      <c r="F158">
        <f t="shared" si="10"/>
        <v>6.1143750164145798E-2</v>
      </c>
      <c r="G158">
        <f t="shared" si="11"/>
        <v>1</v>
      </c>
      <c r="H158">
        <f t="shared" si="12"/>
        <v>1</v>
      </c>
    </row>
    <row r="159" spans="1:8" x14ac:dyDescent="0.25">
      <c r="A159">
        <v>158</v>
      </c>
      <c r="B159" t="s">
        <v>159</v>
      </c>
      <c r="C159">
        <v>-2.79737673891545E-2</v>
      </c>
      <c r="D159">
        <v>-1</v>
      </c>
      <c r="E159">
        <f t="shared" si="9"/>
        <v>1</v>
      </c>
      <c r="F159">
        <f t="shared" si="10"/>
        <v>2.79737673891545E-2</v>
      </c>
      <c r="G159">
        <f t="shared" si="11"/>
        <v>1</v>
      </c>
      <c r="H159">
        <f t="shared" si="12"/>
        <v>1</v>
      </c>
    </row>
    <row r="160" spans="1:8" x14ac:dyDescent="0.25">
      <c r="A160">
        <v>159</v>
      </c>
      <c r="B160" t="s">
        <v>160</v>
      </c>
      <c r="C160">
        <v>2.1300575398416299E-2</v>
      </c>
      <c r="D160">
        <v>1</v>
      </c>
      <c r="E160">
        <f t="shared" si="9"/>
        <v>1</v>
      </c>
      <c r="F160">
        <f t="shared" si="10"/>
        <v>2.1300575398416299E-2</v>
      </c>
      <c r="G160">
        <f t="shared" si="11"/>
        <v>1</v>
      </c>
      <c r="H160">
        <f t="shared" si="12"/>
        <v>1</v>
      </c>
    </row>
    <row r="161" spans="1:8" x14ac:dyDescent="0.25">
      <c r="A161">
        <v>160</v>
      </c>
      <c r="B161" t="s">
        <v>161</v>
      </c>
      <c r="C161">
        <v>-1.8503698621848998E-2</v>
      </c>
      <c r="D161">
        <v>-1</v>
      </c>
      <c r="E161">
        <f t="shared" si="9"/>
        <v>1</v>
      </c>
      <c r="F161">
        <f t="shared" si="10"/>
        <v>1.8503698621848998E-2</v>
      </c>
      <c r="G161">
        <f t="shared" si="11"/>
        <v>1</v>
      </c>
      <c r="H161">
        <f t="shared" si="12"/>
        <v>1</v>
      </c>
    </row>
    <row r="162" spans="1:8" x14ac:dyDescent="0.25">
      <c r="A162">
        <v>161</v>
      </c>
      <c r="B162" t="s">
        <v>162</v>
      </c>
      <c r="C162">
        <v>5.4125362359730499E-2</v>
      </c>
      <c r="D162">
        <v>1</v>
      </c>
      <c r="E162">
        <f t="shared" si="9"/>
        <v>1</v>
      </c>
      <c r="F162">
        <f t="shared" si="10"/>
        <v>5.4125362359730499E-2</v>
      </c>
      <c r="G162">
        <f t="shared" si="11"/>
        <v>1</v>
      </c>
      <c r="H162">
        <f t="shared" si="12"/>
        <v>1</v>
      </c>
    </row>
    <row r="163" spans="1:8" x14ac:dyDescent="0.25">
      <c r="A163">
        <v>162</v>
      </c>
      <c r="B163" t="s">
        <v>163</v>
      </c>
      <c r="C163">
        <v>-2.7915392514441199E-2</v>
      </c>
      <c r="D163">
        <v>-1</v>
      </c>
      <c r="E163">
        <f t="shared" si="9"/>
        <v>1</v>
      </c>
      <c r="F163">
        <f t="shared" si="10"/>
        <v>2.7915392514441199E-2</v>
      </c>
      <c r="G163">
        <f t="shared" si="11"/>
        <v>1</v>
      </c>
      <c r="H163">
        <f t="shared" si="12"/>
        <v>1</v>
      </c>
    </row>
    <row r="164" spans="1:8" x14ac:dyDescent="0.25">
      <c r="A164">
        <v>163</v>
      </c>
      <c r="B164" t="s">
        <v>164</v>
      </c>
      <c r="C164">
        <v>1.33236358468313E-2</v>
      </c>
      <c r="D164">
        <v>-1</v>
      </c>
      <c r="E164">
        <f t="shared" si="9"/>
        <v>1</v>
      </c>
      <c r="F164">
        <f t="shared" si="10"/>
        <v>-1.33236358468313E-2</v>
      </c>
      <c r="G164">
        <f t="shared" si="11"/>
        <v>0</v>
      </c>
      <c r="H164">
        <f t="shared" si="12"/>
        <v>0</v>
      </c>
    </row>
    <row r="165" spans="1:8" x14ac:dyDescent="0.25">
      <c r="A165">
        <v>164</v>
      </c>
      <c r="B165" t="s">
        <v>165</v>
      </c>
      <c r="C165">
        <v>1.2876150417475101E-2</v>
      </c>
      <c r="D165">
        <v>1</v>
      </c>
      <c r="E165">
        <f t="shared" si="9"/>
        <v>1</v>
      </c>
      <c r="F165">
        <f t="shared" si="10"/>
        <v>1.2876150417475101E-2</v>
      </c>
      <c r="G165">
        <f t="shared" si="11"/>
        <v>1</v>
      </c>
      <c r="H165">
        <f t="shared" si="12"/>
        <v>1</v>
      </c>
    </row>
    <row r="166" spans="1:8" x14ac:dyDescent="0.25">
      <c r="A166">
        <v>165</v>
      </c>
      <c r="B166" t="s">
        <v>166</v>
      </c>
      <c r="C166">
        <v>-5.8807936336679599E-2</v>
      </c>
      <c r="D166">
        <v>-1</v>
      </c>
      <c r="E166">
        <f t="shared" si="9"/>
        <v>1</v>
      </c>
      <c r="F166">
        <f t="shared" si="10"/>
        <v>5.8807936336679599E-2</v>
      </c>
      <c r="G166">
        <f t="shared" si="11"/>
        <v>1</v>
      </c>
      <c r="H166">
        <f t="shared" si="12"/>
        <v>1</v>
      </c>
    </row>
    <row r="167" spans="1:8" x14ac:dyDescent="0.25">
      <c r="A167">
        <v>166</v>
      </c>
      <c r="B167" t="s">
        <v>167</v>
      </c>
      <c r="C167">
        <v>6.3482801437420397E-2</v>
      </c>
      <c r="D167">
        <v>1</v>
      </c>
      <c r="E167">
        <f t="shared" si="9"/>
        <v>1</v>
      </c>
      <c r="F167">
        <f t="shared" si="10"/>
        <v>6.3482801437420397E-2</v>
      </c>
      <c r="G167">
        <f t="shared" si="11"/>
        <v>1</v>
      </c>
      <c r="H167">
        <f t="shared" si="12"/>
        <v>1</v>
      </c>
    </row>
    <row r="168" spans="1:8" x14ac:dyDescent="0.25">
      <c r="A168">
        <v>167</v>
      </c>
      <c r="B168" t="s">
        <v>168</v>
      </c>
      <c r="C168">
        <v>4.3410697304052198E-2</v>
      </c>
      <c r="D168">
        <v>1</v>
      </c>
      <c r="E168">
        <f t="shared" si="9"/>
        <v>1</v>
      </c>
      <c r="F168">
        <f t="shared" si="10"/>
        <v>4.3410697304052198E-2</v>
      </c>
      <c r="G168">
        <f t="shared" si="11"/>
        <v>1</v>
      </c>
      <c r="H168">
        <f t="shared" si="12"/>
        <v>1</v>
      </c>
    </row>
    <row r="169" spans="1:8" x14ac:dyDescent="0.25">
      <c r="A169">
        <v>168</v>
      </c>
      <c r="B169" t="s">
        <v>169</v>
      </c>
      <c r="C169">
        <v>8.1375305700735201E-2</v>
      </c>
      <c r="D169">
        <v>-1</v>
      </c>
      <c r="E169">
        <f t="shared" si="9"/>
        <v>1</v>
      </c>
      <c r="F169">
        <f t="shared" si="10"/>
        <v>-8.1375305700735201E-2</v>
      </c>
      <c r="G169">
        <f t="shared" si="11"/>
        <v>0</v>
      </c>
      <c r="H169">
        <f t="shared" si="12"/>
        <v>0</v>
      </c>
    </row>
    <row r="170" spans="1:8" x14ac:dyDescent="0.25">
      <c r="A170">
        <v>169</v>
      </c>
      <c r="B170" t="s">
        <v>170</v>
      </c>
      <c r="C170">
        <v>8.4263170721012495E-3</v>
      </c>
      <c r="D170">
        <v>1</v>
      </c>
      <c r="E170">
        <f t="shared" si="9"/>
        <v>1</v>
      </c>
      <c r="F170">
        <f t="shared" si="10"/>
        <v>8.4263170721012495E-3</v>
      </c>
      <c r="G170">
        <f t="shared" si="11"/>
        <v>1</v>
      </c>
      <c r="H170">
        <f t="shared" si="12"/>
        <v>1</v>
      </c>
    </row>
    <row r="171" spans="1:8" x14ac:dyDescent="0.25">
      <c r="A171">
        <v>170</v>
      </c>
      <c r="B171" t="s">
        <v>171</v>
      </c>
      <c r="C171">
        <v>5.9939782565259503E-2</v>
      </c>
      <c r="D171">
        <v>1</v>
      </c>
      <c r="E171">
        <f t="shared" si="9"/>
        <v>1</v>
      </c>
      <c r="F171">
        <f t="shared" si="10"/>
        <v>5.9939782565259503E-2</v>
      </c>
      <c r="G171">
        <f t="shared" si="11"/>
        <v>1</v>
      </c>
      <c r="H171">
        <f t="shared" si="12"/>
        <v>1</v>
      </c>
    </row>
    <row r="172" spans="1:8" x14ac:dyDescent="0.25">
      <c r="A172">
        <v>171</v>
      </c>
      <c r="B172" t="s">
        <v>172</v>
      </c>
      <c r="C172">
        <v>9.6617147624537006E-2</v>
      </c>
      <c r="D172">
        <v>-1</v>
      </c>
      <c r="E172">
        <f t="shared" si="9"/>
        <v>1</v>
      </c>
      <c r="F172">
        <f t="shared" si="10"/>
        <v>-9.6617147624537006E-2</v>
      </c>
      <c r="G172">
        <f t="shared" si="11"/>
        <v>0</v>
      </c>
      <c r="H172">
        <f t="shared" si="12"/>
        <v>0</v>
      </c>
    </row>
    <row r="173" spans="1:8" x14ac:dyDescent="0.25">
      <c r="A173">
        <v>172</v>
      </c>
      <c r="B173" t="s">
        <v>173</v>
      </c>
      <c r="C173">
        <v>-1.34211754166952E-2</v>
      </c>
      <c r="D173">
        <v>1</v>
      </c>
      <c r="E173">
        <f t="shared" si="9"/>
        <v>1</v>
      </c>
      <c r="F173">
        <f t="shared" si="10"/>
        <v>-1.34211754166952E-2</v>
      </c>
      <c r="G173">
        <f t="shared" si="11"/>
        <v>0</v>
      </c>
      <c r="H173">
        <f t="shared" si="12"/>
        <v>0</v>
      </c>
    </row>
    <row r="174" spans="1:8" x14ac:dyDescent="0.25">
      <c r="A174">
        <v>173</v>
      </c>
      <c r="B174" t="s">
        <v>174</v>
      </c>
      <c r="C174">
        <v>-6.6488228175145395E-2</v>
      </c>
      <c r="D174">
        <v>0</v>
      </c>
      <c r="E174">
        <f t="shared" si="9"/>
        <v>0</v>
      </c>
      <c r="F174">
        <f t="shared" si="10"/>
        <v>0</v>
      </c>
      <c r="G174">
        <f t="shared" si="11"/>
        <v>0</v>
      </c>
      <c r="H174">
        <f t="shared" si="12"/>
        <v>0</v>
      </c>
    </row>
    <row r="175" spans="1:8" x14ac:dyDescent="0.25">
      <c r="A175">
        <v>174</v>
      </c>
      <c r="B175" t="s">
        <v>175</v>
      </c>
      <c r="C175">
        <v>9.3169406332560007E-3</v>
      </c>
      <c r="D175">
        <v>1</v>
      </c>
      <c r="E175">
        <f t="shared" si="9"/>
        <v>1</v>
      </c>
      <c r="F175">
        <f t="shared" si="10"/>
        <v>9.3169406332560007E-3</v>
      </c>
      <c r="G175">
        <f t="shared" si="11"/>
        <v>1</v>
      </c>
      <c r="H175">
        <f t="shared" si="12"/>
        <v>1</v>
      </c>
    </row>
    <row r="176" spans="1:8" x14ac:dyDescent="0.25">
      <c r="A176">
        <v>175</v>
      </c>
      <c r="B176" t="s">
        <v>176</v>
      </c>
      <c r="C176">
        <v>-1.8115422961997401E-2</v>
      </c>
      <c r="D176">
        <v>-1</v>
      </c>
      <c r="E176">
        <f t="shared" si="9"/>
        <v>1</v>
      </c>
      <c r="F176">
        <f t="shared" si="10"/>
        <v>1.8115422961997401E-2</v>
      </c>
      <c r="G176">
        <f t="shared" si="11"/>
        <v>1</v>
      </c>
      <c r="H176">
        <f t="shared" si="12"/>
        <v>1</v>
      </c>
    </row>
    <row r="177" spans="1:8" x14ac:dyDescent="0.25">
      <c r="A177">
        <v>176</v>
      </c>
      <c r="B177" t="s">
        <v>177</v>
      </c>
      <c r="C177">
        <v>-3.3759374452806499E-3</v>
      </c>
      <c r="D177">
        <v>-1</v>
      </c>
      <c r="E177">
        <f t="shared" si="9"/>
        <v>1</v>
      </c>
      <c r="F177">
        <f t="shared" si="10"/>
        <v>3.3759374452806499E-3</v>
      </c>
      <c r="G177">
        <f t="shared" si="11"/>
        <v>1</v>
      </c>
      <c r="H177">
        <f t="shared" si="12"/>
        <v>1</v>
      </c>
    </row>
    <row r="178" spans="1:8" x14ac:dyDescent="0.25">
      <c r="A178">
        <v>177</v>
      </c>
      <c r="B178" t="s">
        <v>178</v>
      </c>
      <c r="C178">
        <v>8.5993132857674903E-2</v>
      </c>
      <c r="D178">
        <v>0</v>
      </c>
      <c r="E178">
        <f t="shared" si="9"/>
        <v>0</v>
      </c>
      <c r="F178">
        <f t="shared" si="10"/>
        <v>0</v>
      </c>
      <c r="G178">
        <f t="shared" si="11"/>
        <v>0</v>
      </c>
      <c r="H178">
        <f t="shared" si="12"/>
        <v>0</v>
      </c>
    </row>
    <row r="179" spans="1:8" x14ac:dyDescent="0.25">
      <c r="A179">
        <v>178</v>
      </c>
      <c r="B179" t="s">
        <v>179</v>
      </c>
      <c r="C179">
        <v>-1.3202387130835999E-2</v>
      </c>
      <c r="D179">
        <v>1</v>
      </c>
      <c r="E179">
        <f t="shared" si="9"/>
        <v>1</v>
      </c>
      <c r="F179">
        <f t="shared" si="10"/>
        <v>-1.3202387130835999E-2</v>
      </c>
      <c r="G179">
        <f t="shared" si="11"/>
        <v>0</v>
      </c>
      <c r="H179">
        <f t="shared" si="12"/>
        <v>0</v>
      </c>
    </row>
    <row r="180" spans="1:8" x14ac:dyDescent="0.25">
      <c r="A180">
        <v>179</v>
      </c>
      <c r="B180" t="s">
        <v>180</v>
      </c>
      <c r="C180">
        <v>2.3015467579347599E-2</v>
      </c>
      <c r="D180">
        <v>1</v>
      </c>
      <c r="E180">
        <f t="shared" si="9"/>
        <v>1</v>
      </c>
      <c r="F180">
        <f t="shared" si="10"/>
        <v>2.3015467579347599E-2</v>
      </c>
      <c r="G180">
        <f t="shared" si="11"/>
        <v>1</v>
      </c>
      <c r="H180">
        <f t="shared" si="12"/>
        <v>1</v>
      </c>
    </row>
    <row r="181" spans="1:8" x14ac:dyDescent="0.25">
      <c r="A181">
        <v>180</v>
      </c>
      <c r="B181" t="s">
        <v>181</v>
      </c>
      <c r="C181">
        <v>-1.5967856571887599E-2</v>
      </c>
      <c r="D181">
        <v>-1</v>
      </c>
      <c r="E181">
        <f t="shared" si="9"/>
        <v>1</v>
      </c>
      <c r="F181">
        <f t="shared" si="10"/>
        <v>1.5967856571887599E-2</v>
      </c>
      <c r="G181">
        <f t="shared" si="11"/>
        <v>1</v>
      </c>
      <c r="H181">
        <f t="shared" si="12"/>
        <v>1</v>
      </c>
    </row>
    <row r="182" spans="1:8" x14ac:dyDescent="0.25">
      <c r="A182">
        <v>181</v>
      </c>
      <c r="B182" t="s">
        <v>182</v>
      </c>
      <c r="C182">
        <v>-9.6107259134602802E-3</v>
      </c>
      <c r="D182">
        <v>-1</v>
      </c>
      <c r="E182">
        <f t="shared" si="9"/>
        <v>1</v>
      </c>
      <c r="F182">
        <f t="shared" si="10"/>
        <v>9.6107259134602802E-3</v>
      </c>
      <c r="G182">
        <f t="shared" si="11"/>
        <v>1</v>
      </c>
      <c r="H182">
        <f t="shared" si="12"/>
        <v>1</v>
      </c>
    </row>
    <row r="183" spans="1:8" x14ac:dyDescent="0.25">
      <c r="A183">
        <v>182</v>
      </c>
      <c r="B183" t="s">
        <v>183</v>
      </c>
      <c r="C183">
        <v>2.8334734936208E-2</v>
      </c>
      <c r="D183">
        <v>1</v>
      </c>
      <c r="E183">
        <f t="shared" si="9"/>
        <v>1</v>
      </c>
      <c r="F183">
        <f t="shared" si="10"/>
        <v>2.8334734936208E-2</v>
      </c>
      <c r="G183">
        <f t="shared" si="11"/>
        <v>1</v>
      </c>
      <c r="H183">
        <f t="shared" si="12"/>
        <v>1</v>
      </c>
    </row>
    <row r="184" spans="1:8" x14ac:dyDescent="0.25">
      <c r="A184">
        <v>183</v>
      </c>
      <c r="B184" t="s">
        <v>184</v>
      </c>
      <c r="C184">
        <v>6.2914230922313796E-2</v>
      </c>
      <c r="D184">
        <v>-1</v>
      </c>
      <c r="E184">
        <f t="shared" si="9"/>
        <v>1</v>
      </c>
      <c r="F184">
        <f t="shared" si="10"/>
        <v>-6.2914230922313796E-2</v>
      </c>
      <c r="G184">
        <f t="shared" si="11"/>
        <v>0</v>
      </c>
      <c r="H184">
        <f t="shared" si="12"/>
        <v>0</v>
      </c>
    </row>
    <row r="185" spans="1:8" x14ac:dyDescent="0.25">
      <c r="A185">
        <v>184</v>
      </c>
      <c r="B185" t="s">
        <v>185</v>
      </c>
      <c r="C185">
        <v>-2.58920975199484E-3</v>
      </c>
      <c r="D185">
        <v>-1</v>
      </c>
      <c r="E185">
        <f t="shared" si="9"/>
        <v>1</v>
      </c>
      <c r="F185">
        <f t="shared" si="10"/>
        <v>2.58920975199484E-3</v>
      </c>
      <c r="G185">
        <f t="shared" si="11"/>
        <v>1</v>
      </c>
      <c r="H185">
        <f t="shared" si="12"/>
        <v>1</v>
      </c>
    </row>
    <row r="186" spans="1:8" x14ac:dyDescent="0.25">
      <c r="A186">
        <v>185</v>
      </c>
      <c r="B186" t="s">
        <v>186</v>
      </c>
      <c r="C186">
        <v>3.32793203121447E-2</v>
      </c>
      <c r="D186">
        <v>-1</v>
      </c>
      <c r="E186">
        <f t="shared" si="9"/>
        <v>1</v>
      </c>
      <c r="F186">
        <f t="shared" si="10"/>
        <v>-3.32793203121447E-2</v>
      </c>
      <c r="G186">
        <f t="shared" si="11"/>
        <v>0</v>
      </c>
      <c r="H186">
        <f t="shared" si="12"/>
        <v>0</v>
      </c>
    </row>
    <row r="187" spans="1:8" x14ac:dyDescent="0.25">
      <c r="A187">
        <v>186</v>
      </c>
      <c r="B187" t="s">
        <v>187</v>
      </c>
      <c r="C187">
        <v>3.6971242545691202E-2</v>
      </c>
      <c r="D187">
        <v>-1</v>
      </c>
      <c r="E187">
        <f t="shared" si="9"/>
        <v>1</v>
      </c>
      <c r="F187">
        <f t="shared" si="10"/>
        <v>-3.6971242545691202E-2</v>
      </c>
      <c r="G187">
        <f t="shared" si="11"/>
        <v>0</v>
      </c>
      <c r="H187">
        <f t="shared" si="12"/>
        <v>0</v>
      </c>
    </row>
    <row r="188" spans="1:8" x14ac:dyDescent="0.25">
      <c r="A188">
        <v>187</v>
      </c>
      <c r="B188" t="s">
        <v>188</v>
      </c>
      <c r="C188">
        <v>5.6837866439918103E-2</v>
      </c>
      <c r="D188">
        <v>1</v>
      </c>
      <c r="E188">
        <f t="shared" si="9"/>
        <v>1</v>
      </c>
      <c r="F188">
        <f t="shared" si="10"/>
        <v>5.6837866439918103E-2</v>
      </c>
      <c r="G188">
        <f t="shared" si="11"/>
        <v>1</v>
      </c>
      <c r="H188">
        <f t="shared" si="12"/>
        <v>1</v>
      </c>
    </row>
    <row r="189" spans="1:8" x14ac:dyDescent="0.25">
      <c r="A189">
        <v>188</v>
      </c>
      <c r="B189" t="s">
        <v>189</v>
      </c>
      <c r="C189">
        <v>-2.7872354687247199E-2</v>
      </c>
      <c r="D189">
        <v>1</v>
      </c>
      <c r="E189">
        <f t="shared" si="9"/>
        <v>1</v>
      </c>
      <c r="F189">
        <f t="shared" si="10"/>
        <v>-2.7872354687247199E-2</v>
      </c>
      <c r="G189">
        <f t="shared" si="11"/>
        <v>0</v>
      </c>
      <c r="H189">
        <f t="shared" si="12"/>
        <v>0</v>
      </c>
    </row>
    <row r="190" spans="1:8" x14ac:dyDescent="0.25">
      <c r="A190">
        <v>189</v>
      </c>
      <c r="B190" t="s">
        <v>190</v>
      </c>
      <c r="C190">
        <v>8.8884598561579098E-2</v>
      </c>
      <c r="D190">
        <v>1</v>
      </c>
      <c r="E190">
        <f t="shared" si="9"/>
        <v>1</v>
      </c>
      <c r="F190">
        <f t="shared" si="10"/>
        <v>8.8884598561579098E-2</v>
      </c>
      <c r="G190">
        <f t="shared" si="11"/>
        <v>1</v>
      </c>
      <c r="H190">
        <f t="shared" si="12"/>
        <v>1</v>
      </c>
    </row>
    <row r="191" spans="1:8" x14ac:dyDescent="0.25">
      <c r="A191">
        <v>190</v>
      </c>
      <c r="B191" t="s">
        <v>191</v>
      </c>
      <c r="C191">
        <v>-2.4040757136423299E-2</v>
      </c>
      <c r="D191">
        <v>-1</v>
      </c>
      <c r="E191">
        <f t="shared" si="9"/>
        <v>1</v>
      </c>
      <c r="F191">
        <f t="shared" si="10"/>
        <v>2.4040757136423299E-2</v>
      </c>
      <c r="G191">
        <f t="shared" si="11"/>
        <v>1</v>
      </c>
      <c r="H191">
        <f t="shared" si="12"/>
        <v>1</v>
      </c>
    </row>
    <row r="192" spans="1:8" x14ac:dyDescent="0.25">
      <c r="A192">
        <v>191</v>
      </c>
      <c r="B192" t="s">
        <v>192</v>
      </c>
      <c r="C192">
        <v>-3.1447552866715701E-3</v>
      </c>
      <c r="D192">
        <v>1</v>
      </c>
      <c r="E192">
        <f t="shared" si="9"/>
        <v>1</v>
      </c>
      <c r="F192">
        <f t="shared" si="10"/>
        <v>-3.1447552866715701E-3</v>
      </c>
      <c r="G192">
        <f t="shared" si="11"/>
        <v>0</v>
      </c>
      <c r="H192">
        <f t="shared" si="12"/>
        <v>0</v>
      </c>
    </row>
    <row r="193" spans="1:8" x14ac:dyDescent="0.25">
      <c r="A193">
        <v>192</v>
      </c>
      <c r="B193" t="s">
        <v>193</v>
      </c>
      <c r="C193">
        <v>6.6955654270800205E-2</v>
      </c>
      <c r="D193">
        <v>-1</v>
      </c>
      <c r="E193">
        <f t="shared" si="9"/>
        <v>1</v>
      </c>
      <c r="F193">
        <f t="shared" si="10"/>
        <v>-6.6955654270800205E-2</v>
      </c>
      <c r="G193">
        <f t="shared" si="11"/>
        <v>0</v>
      </c>
      <c r="H193">
        <f t="shared" si="12"/>
        <v>0</v>
      </c>
    </row>
    <row r="194" spans="1:8" x14ac:dyDescent="0.25">
      <c r="A194">
        <v>193</v>
      </c>
      <c r="B194" t="s">
        <v>194</v>
      </c>
      <c r="C194">
        <v>6.5650030589014696E-2</v>
      </c>
      <c r="D194">
        <v>1</v>
      </c>
      <c r="E194">
        <f t="shared" si="9"/>
        <v>1</v>
      </c>
      <c r="F194">
        <f t="shared" si="10"/>
        <v>6.5650030589014696E-2</v>
      </c>
      <c r="G194">
        <f t="shared" si="11"/>
        <v>1</v>
      </c>
      <c r="H194">
        <f t="shared" si="12"/>
        <v>1</v>
      </c>
    </row>
    <row r="195" spans="1:8" x14ac:dyDescent="0.25">
      <c r="A195">
        <v>194</v>
      </c>
      <c r="B195" t="s">
        <v>195</v>
      </c>
      <c r="C195">
        <v>-6.3453227200337303E-2</v>
      </c>
      <c r="D195">
        <v>-1</v>
      </c>
      <c r="E195">
        <f t="shared" ref="E195:E258" si="13">IF(OR(D195=1,D195=-1),1,0)</f>
        <v>1</v>
      </c>
      <c r="F195">
        <f t="shared" ref="F195:F258" si="14">C195*D195</f>
        <v>6.3453227200337303E-2</v>
      </c>
      <c r="G195">
        <f t="shared" ref="G195:G258" si="15">IF(F195&gt;0,1,0)</f>
        <v>1</v>
      </c>
      <c r="H195">
        <f t="shared" ref="H195:H258" si="16">E195*G195</f>
        <v>1</v>
      </c>
    </row>
    <row r="196" spans="1:8" x14ac:dyDescent="0.25">
      <c r="A196">
        <v>195</v>
      </c>
      <c r="B196" t="s">
        <v>196</v>
      </c>
      <c r="C196">
        <v>-5.6761565354152901E-2</v>
      </c>
      <c r="D196">
        <v>-1</v>
      </c>
      <c r="E196">
        <f t="shared" si="13"/>
        <v>1</v>
      </c>
      <c r="F196">
        <f t="shared" si="14"/>
        <v>5.6761565354152901E-2</v>
      </c>
      <c r="G196">
        <f t="shared" si="15"/>
        <v>1</v>
      </c>
      <c r="H196">
        <f t="shared" si="16"/>
        <v>1</v>
      </c>
    </row>
    <row r="197" spans="1:8" x14ac:dyDescent="0.25">
      <c r="A197">
        <v>196</v>
      </c>
      <c r="B197" t="s">
        <v>197</v>
      </c>
      <c r="C197">
        <v>-4.79318191210511E-2</v>
      </c>
      <c r="D197">
        <v>1</v>
      </c>
      <c r="E197">
        <f t="shared" si="13"/>
        <v>1</v>
      </c>
      <c r="F197">
        <f t="shared" si="14"/>
        <v>-4.79318191210511E-2</v>
      </c>
      <c r="G197">
        <f t="shared" si="15"/>
        <v>0</v>
      </c>
      <c r="H197">
        <f t="shared" si="16"/>
        <v>0</v>
      </c>
    </row>
    <row r="198" spans="1:8" x14ac:dyDescent="0.25">
      <c r="A198">
        <v>197</v>
      </c>
      <c r="B198" t="s">
        <v>198</v>
      </c>
      <c r="C198">
        <v>1.50994478677158E-2</v>
      </c>
      <c r="D198">
        <v>1</v>
      </c>
      <c r="E198">
        <f t="shared" si="13"/>
        <v>1</v>
      </c>
      <c r="F198">
        <f t="shared" si="14"/>
        <v>1.50994478677158E-2</v>
      </c>
      <c r="G198">
        <f t="shared" si="15"/>
        <v>1</v>
      </c>
      <c r="H198">
        <f t="shared" si="16"/>
        <v>1</v>
      </c>
    </row>
    <row r="199" spans="1:8" x14ac:dyDescent="0.25">
      <c r="A199">
        <v>198</v>
      </c>
      <c r="B199" t="s">
        <v>199</v>
      </c>
      <c r="C199">
        <v>-4.27067022032614E-3</v>
      </c>
      <c r="D199">
        <v>-1</v>
      </c>
      <c r="E199">
        <f t="shared" si="13"/>
        <v>1</v>
      </c>
      <c r="F199">
        <f t="shared" si="14"/>
        <v>4.27067022032614E-3</v>
      </c>
      <c r="G199">
        <f t="shared" si="15"/>
        <v>1</v>
      </c>
      <c r="H199">
        <f t="shared" si="16"/>
        <v>1</v>
      </c>
    </row>
    <row r="200" spans="1:8" x14ac:dyDescent="0.25">
      <c r="A200">
        <v>199</v>
      </c>
      <c r="B200" t="s">
        <v>200</v>
      </c>
      <c r="C200">
        <v>1.2094075200948899E-2</v>
      </c>
      <c r="D200">
        <v>-1</v>
      </c>
      <c r="E200">
        <f t="shared" si="13"/>
        <v>1</v>
      </c>
      <c r="F200">
        <f t="shared" si="14"/>
        <v>-1.2094075200948899E-2</v>
      </c>
      <c r="G200">
        <f t="shared" si="15"/>
        <v>0</v>
      </c>
      <c r="H200">
        <f t="shared" si="16"/>
        <v>0</v>
      </c>
    </row>
    <row r="201" spans="1:8" x14ac:dyDescent="0.25">
      <c r="A201">
        <v>200</v>
      </c>
      <c r="B201" t="s">
        <v>201</v>
      </c>
      <c r="C201">
        <v>1.5753084864954799E-2</v>
      </c>
      <c r="D201">
        <v>-1</v>
      </c>
      <c r="E201">
        <f t="shared" si="13"/>
        <v>1</v>
      </c>
      <c r="F201">
        <f t="shared" si="14"/>
        <v>-1.5753084864954799E-2</v>
      </c>
      <c r="G201">
        <f t="shared" si="15"/>
        <v>0</v>
      </c>
      <c r="H201">
        <f t="shared" si="16"/>
        <v>0</v>
      </c>
    </row>
    <row r="202" spans="1:8" x14ac:dyDescent="0.25">
      <c r="A202">
        <v>201</v>
      </c>
      <c r="B202" t="s">
        <v>202</v>
      </c>
      <c r="C202">
        <v>-8.1065388104136198E-3</v>
      </c>
      <c r="D202">
        <v>1</v>
      </c>
      <c r="E202">
        <f t="shared" si="13"/>
        <v>1</v>
      </c>
      <c r="F202">
        <f t="shared" si="14"/>
        <v>-8.1065388104136198E-3</v>
      </c>
      <c r="G202">
        <f t="shared" si="15"/>
        <v>0</v>
      </c>
      <c r="H202">
        <f t="shared" si="16"/>
        <v>0</v>
      </c>
    </row>
    <row r="203" spans="1:8" x14ac:dyDescent="0.25">
      <c r="A203">
        <v>202</v>
      </c>
      <c r="B203" t="s">
        <v>203</v>
      </c>
      <c r="C203">
        <v>-3.6560799790600597E-2</v>
      </c>
      <c r="D203">
        <v>1</v>
      </c>
      <c r="E203">
        <f t="shared" si="13"/>
        <v>1</v>
      </c>
      <c r="F203">
        <f t="shared" si="14"/>
        <v>-3.6560799790600597E-2</v>
      </c>
      <c r="G203">
        <f t="shared" si="15"/>
        <v>0</v>
      </c>
      <c r="H203">
        <f t="shared" si="16"/>
        <v>0</v>
      </c>
    </row>
    <row r="204" spans="1:8" x14ac:dyDescent="0.25">
      <c r="A204">
        <v>203</v>
      </c>
      <c r="B204" t="s">
        <v>204</v>
      </c>
      <c r="C204">
        <v>4.8687802236781701E-2</v>
      </c>
      <c r="D204">
        <v>-1</v>
      </c>
      <c r="E204">
        <f t="shared" si="13"/>
        <v>1</v>
      </c>
      <c r="F204">
        <f t="shared" si="14"/>
        <v>-4.8687802236781701E-2</v>
      </c>
      <c r="G204">
        <f t="shared" si="15"/>
        <v>0</v>
      </c>
      <c r="H204">
        <f t="shared" si="16"/>
        <v>0</v>
      </c>
    </row>
    <row r="205" spans="1:8" x14ac:dyDescent="0.25">
      <c r="A205">
        <v>204</v>
      </c>
      <c r="B205" t="s">
        <v>205</v>
      </c>
      <c r="C205">
        <v>4.2985005722637103E-2</v>
      </c>
      <c r="D205">
        <v>1</v>
      </c>
      <c r="E205">
        <f t="shared" si="13"/>
        <v>1</v>
      </c>
      <c r="F205">
        <f t="shared" si="14"/>
        <v>4.2985005722637103E-2</v>
      </c>
      <c r="G205">
        <f t="shared" si="15"/>
        <v>1</v>
      </c>
      <c r="H205">
        <f t="shared" si="16"/>
        <v>1</v>
      </c>
    </row>
    <row r="206" spans="1:8" x14ac:dyDescent="0.25">
      <c r="A206">
        <v>205</v>
      </c>
      <c r="B206" t="s">
        <v>206</v>
      </c>
      <c r="C206">
        <v>-7.9601726345623694E-2</v>
      </c>
      <c r="D206">
        <v>-1</v>
      </c>
      <c r="E206">
        <f t="shared" si="13"/>
        <v>1</v>
      </c>
      <c r="F206">
        <f t="shared" si="14"/>
        <v>7.9601726345623694E-2</v>
      </c>
      <c r="G206">
        <f t="shared" si="15"/>
        <v>1</v>
      </c>
      <c r="H206">
        <f t="shared" si="16"/>
        <v>1</v>
      </c>
    </row>
    <row r="207" spans="1:8" x14ac:dyDescent="0.25">
      <c r="A207">
        <v>206</v>
      </c>
      <c r="B207" t="s">
        <v>207</v>
      </c>
      <c r="C207">
        <v>-9.5198414886201194E-3</v>
      </c>
      <c r="D207">
        <v>-1</v>
      </c>
      <c r="E207">
        <f t="shared" si="13"/>
        <v>1</v>
      </c>
      <c r="F207">
        <f t="shared" si="14"/>
        <v>9.5198414886201194E-3</v>
      </c>
      <c r="G207">
        <f t="shared" si="15"/>
        <v>1</v>
      </c>
      <c r="H207">
        <f t="shared" si="16"/>
        <v>1</v>
      </c>
    </row>
    <row r="208" spans="1:8" x14ac:dyDescent="0.25">
      <c r="A208">
        <v>207</v>
      </c>
      <c r="B208" t="s">
        <v>208</v>
      </c>
      <c r="C208">
        <v>-5.26834195163274E-2</v>
      </c>
      <c r="D208">
        <v>-1</v>
      </c>
      <c r="E208">
        <f t="shared" si="13"/>
        <v>1</v>
      </c>
      <c r="F208">
        <f t="shared" si="14"/>
        <v>5.26834195163274E-2</v>
      </c>
      <c r="G208">
        <f t="shared" si="15"/>
        <v>1</v>
      </c>
      <c r="H208">
        <f t="shared" si="16"/>
        <v>1</v>
      </c>
    </row>
    <row r="209" spans="1:8" x14ac:dyDescent="0.25">
      <c r="A209">
        <v>208</v>
      </c>
      <c r="B209" t="s">
        <v>209</v>
      </c>
      <c r="C209">
        <v>-0.109483726201693</v>
      </c>
      <c r="D209">
        <v>-1</v>
      </c>
      <c r="E209">
        <f t="shared" si="13"/>
        <v>1</v>
      </c>
      <c r="F209">
        <f t="shared" si="14"/>
        <v>0.109483726201693</v>
      </c>
      <c r="G209">
        <f t="shared" si="15"/>
        <v>1</v>
      </c>
      <c r="H209">
        <f t="shared" si="16"/>
        <v>1</v>
      </c>
    </row>
    <row r="210" spans="1:8" x14ac:dyDescent="0.25">
      <c r="A210">
        <v>209</v>
      </c>
      <c r="B210" t="s">
        <v>210</v>
      </c>
      <c r="C210">
        <v>2.4015081232774099E-2</v>
      </c>
      <c r="D210">
        <v>1</v>
      </c>
      <c r="E210">
        <f t="shared" si="13"/>
        <v>1</v>
      </c>
      <c r="F210">
        <f t="shared" si="14"/>
        <v>2.4015081232774099E-2</v>
      </c>
      <c r="G210">
        <f t="shared" si="15"/>
        <v>1</v>
      </c>
      <c r="H210">
        <f t="shared" si="16"/>
        <v>1</v>
      </c>
    </row>
    <row r="211" spans="1:8" x14ac:dyDescent="0.25">
      <c r="A211">
        <v>210</v>
      </c>
      <c r="B211" t="s">
        <v>211</v>
      </c>
      <c r="C211">
        <v>-4.5008667137838203E-3</v>
      </c>
      <c r="D211">
        <v>-1</v>
      </c>
      <c r="E211">
        <f t="shared" si="13"/>
        <v>1</v>
      </c>
      <c r="F211">
        <f t="shared" si="14"/>
        <v>4.5008667137838203E-3</v>
      </c>
      <c r="G211">
        <f t="shared" si="15"/>
        <v>1</v>
      </c>
      <c r="H211">
        <f t="shared" si="16"/>
        <v>1</v>
      </c>
    </row>
    <row r="212" spans="1:8" x14ac:dyDescent="0.25">
      <c r="A212">
        <v>211</v>
      </c>
      <c r="B212" t="s">
        <v>212</v>
      </c>
      <c r="C212">
        <v>-3.6760110113782099E-3</v>
      </c>
      <c r="D212">
        <v>1</v>
      </c>
      <c r="E212">
        <f t="shared" si="13"/>
        <v>1</v>
      </c>
      <c r="F212">
        <f t="shared" si="14"/>
        <v>-3.6760110113782099E-3</v>
      </c>
      <c r="G212">
        <f t="shared" si="15"/>
        <v>0</v>
      </c>
      <c r="H212">
        <f t="shared" si="16"/>
        <v>0</v>
      </c>
    </row>
    <row r="213" spans="1:8" x14ac:dyDescent="0.25">
      <c r="A213">
        <v>212</v>
      </c>
      <c r="B213" t="s">
        <v>213</v>
      </c>
      <c r="C213">
        <v>1.32445013860526E-2</v>
      </c>
      <c r="D213">
        <v>1</v>
      </c>
      <c r="E213">
        <f t="shared" si="13"/>
        <v>1</v>
      </c>
      <c r="F213">
        <f t="shared" si="14"/>
        <v>1.32445013860526E-2</v>
      </c>
      <c r="G213">
        <f t="shared" si="15"/>
        <v>1</v>
      </c>
      <c r="H213">
        <f t="shared" si="16"/>
        <v>1</v>
      </c>
    </row>
    <row r="214" spans="1:8" x14ac:dyDescent="0.25">
      <c r="A214">
        <v>213</v>
      </c>
      <c r="B214" t="s">
        <v>214</v>
      </c>
      <c r="C214">
        <v>5.6448017004682702E-2</v>
      </c>
      <c r="D214">
        <v>1</v>
      </c>
      <c r="E214">
        <f t="shared" si="13"/>
        <v>1</v>
      </c>
      <c r="F214">
        <f t="shared" si="14"/>
        <v>5.6448017004682702E-2</v>
      </c>
      <c r="G214">
        <f t="shared" si="15"/>
        <v>1</v>
      </c>
      <c r="H214">
        <f t="shared" si="16"/>
        <v>1</v>
      </c>
    </row>
    <row r="215" spans="1:8" x14ac:dyDescent="0.25">
      <c r="A215">
        <v>214</v>
      </c>
      <c r="B215" t="s">
        <v>215</v>
      </c>
      <c r="C215">
        <v>5.1192369147215304E-3</v>
      </c>
      <c r="D215">
        <v>-1</v>
      </c>
      <c r="E215">
        <f t="shared" si="13"/>
        <v>1</v>
      </c>
      <c r="F215">
        <f t="shared" si="14"/>
        <v>-5.1192369147215304E-3</v>
      </c>
      <c r="G215">
        <f t="shared" si="15"/>
        <v>0</v>
      </c>
      <c r="H215">
        <f t="shared" si="16"/>
        <v>0</v>
      </c>
    </row>
    <row r="216" spans="1:8" x14ac:dyDescent="0.25">
      <c r="A216">
        <v>215</v>
      </c>
      <c r="B216" t="s">
        <v>216</v>
      </c>
      <c r="C216">
        <v>-4.0746863647596797E-2</v>
      </c>
      <c r="D216">
        <v>-1</v>
      </c>
      <c r="E216">
        <f t="shared" si="13"/>
        <v>1</v>
      </c>
      <c r="F216">
        <f t="shared" si="14"/>
        <v>4.0746863647596797E-2</v>
      </c>
      <c r="G216">
        <f t="shared" si="15"/>
        <v>1</v>
      </c>
      <c r="H216">
        <f t="shared" si="16"/>
        <v>1</v>
      </c>
    </row>
    <row r="217" spans="1:8" x14ac:dyDescent="0.25">
      <c r="A217">
        <v>216</v>
      </c>
      <c r="B217" t="s">
        <v>217</v>
      </c>
      <c r="C217">
        <v>-1.99829932720322E-2</v>
      </c>
      <c r="D217">
        <v>1</v>
      </c>
      <c r="E217">
        <f t="shared" si="13"/>
        <v>1</v>
      </c>
      <c r="F217">
        <f t="shared" si="14"/>
        <v>-1.99829932720322E-2</v>
      </c>
      <c r="G217">
        <f t="shared" si="15"/>
        <v>0</v>
      </c>
      <c r="H217">
        <f t="shared" si="16"/>
        <v>0</v>
      </c>
    </row>
    <row r="218" spans="1:8" x14ac:dyDescent="0.25">
      <c r="A218">
        <v>217</v>
      </c>
      <c r="B218" t="s">
        <v>218</v>
      </c>
      <c r="C218">
        <v>-1.1001771821111899E-2</v>
      </c>
      <c r="D218">
        <v>-1</v>
      </c>
      <c r="E218">
        <f t="shared" si="13"/>
        <v>1</v>
      </c>
      <c r="F218">
        <f t="shared" si="14"/>
        <v>1.1001771821111899E-2</v>
      </c>
      <c r="G218">
        <f t="shared" si="15"/>
        <v>1</v>
      </c>
      <c r="H218">
        <f t="shared" si="16"/>
        <v>1</v>
      </c>
    </row>
    <row r="219" spans="1:8" x14ac:dyDescent="0.25">
      <c r="A219">
        <v>218</v>
      </c>
      <c r="B219" t="s">
        <v>219</v>
      </c>
      <c r="C219">
        <v>8.2701896295488495E-3</v>
      </c>
      <c r="D219">
        <v>-1</v>
      </c>
      <c r="E219">
        <f t="shared" si="13"/>
        <v>1</v>
      </c>
      <c r="F219">
        <f t="shared" si="14"/>
        <v>-8.2701896295488495E-3</v>
      </c>
      <c r="G219">
        <f t="shared" si="15"/>
        <v>0</v>
      </c>
      <c r="H219">
        <f t="shared" si="16"/>
        <v>0</v>
      </c>
    </row>
    <row r="220" spans="1:8" x14ac:dyDescent="0.25">
      <c r="A220">
        <v>219</v>
      </c>
      <c r="B220" t="s">
        <v>220</v>
      </c>
      <c r="C220">
        <v>-6.4346748823934999E-2</v>
      </c>
      <c r="D220">
        <v>-1</v>
      </c>
      <c r="E220">
        <f t="shared" si="13"/>
        <v>1</v>
      </c>
      <c r="F220">
        <f t="shared" si="14"/>
        <v>6.4346748823934999E-2</v>
      </c>
      <c r="G220">
        <f t="shared" si="15"/>
        <v>1</v>
      </c>
      <c r="H220">
        <f t="shared" si="16"/>
        <v>1</v>
      </c>
    </row>
    <row r="221" spans="1:8" x14ac:dyDescent="0.25">
      <c r="A221">
        <v>220</v>
      </c>
      <c r="B221" t="s">
        <v>221</v>
      </c>
      <c r="C221">
        <v>-2.2062600665297201E-2</v>
      </c>
      <c r="D221">
        <v>-1</v>
      </c>
      <c r="E221">
        <f t="shared" si="13"/>
        <v>1</v>
      </c>
      <c r="F221">
        <f t="shared" si="14"/>
        <v>2.2062600665297201E-2</v>
      </c>
      <c r="G221">
        <f t="shared" si="15"/>
        <v>1</v>
      </c>
      <c r="H221">
        <f t="shared" si="16"/>
        <v>1</v>
      </c>
    </row>
    <row r="222" spans="1:8" x14ac:dyDescent="0.25">
      <c r="A222">
        <v>221</v>
      </c>
      <c r="B222" t="s">
        <v>222</v>
      </c>
      <c r="C222">
        <v>4.26236282154158E-2</v>
      </c>
      <c r="D222">
        <v>-1</v>
      </c>
      <c r="E222">
        <f t="shared" si="13"/>
        <v>1</v>
      </c>
      <c r="F222">
        <f t="shared" si="14"/>
        <v>-4.26236282154158E-2</v>
      </c>
      <c r="G222">
        <f t="shared" si="15"/>
        <v>0</v>
      </c>
      <c r="H222">
        <f t="shared" si="16"/>
        <v>0</v>
      </c>
    </row>
    <row r="223" spans="1:8" x14ac:dyDescent="0.25">
      <c r="A223">
        <v>222</v>
      </c>
      <c r="B223" t="s">
        <v>223</v>
      </c>
      <c r="C223">
        <v>7.6585360994097895E-4</v>
      </c>
      <c r="D223">
        <v>1</v>
      </c>
      <c r="E223">
        <f t="shared" si="13"/>
        <v>1</v>
      </c>
      <c r="F223">
        <f t="shared" si="14"/>
        <v>7.6585360994097895E-4</v>
      </c>
      <c r="G223">
        <f t="shared" si="15"/>
        <v>1</v>
      </c>
      <c r="H223">
        <f t="shared" si="16"/>
        <v>1</v>
      </c>
    </row>
    <row r="224" spans="1:8" x14ac:dyDescent="0.25">
      <c r="A224">
        <v>223</v>
      </c>
      <c r="B224" t="s">
        <v>224</v>
      </c>
      <c r="C224">
        <v>-2.3822551990422301E-2</v>
      </c>
      <c r="D224">
        <v>1</v>
      </c>
      <c r="E224">
        <f t="shared" si="13"/>
        <v>1</v>
      </c>
      <c r="F224">
        <f t="shared" si="14"/>
        <v>-2.3822551990422301E-2</v>
      </c>
      <c r="G224">
        <f t="shared" si="15"/>
        <v>0</v>
      </c>
      <c r="H224">
        <f t="shared" si="16"/>
        <v>0</v>
      </c>
    </row>
    <row r="225" spans="1:8" x14ac:dyDescent="0.25">
      <c r="A225">
        <v>224</v>
      </c>
      <c r="B225" t="s">
        <v>225</v>
      </c>
      <c r="C225">
        <v>-6.7213748829211099E-3</v>
      </c>
      <c r="D225">
        <v>1</v>
      </c>
      <c r="E225">
        <f t="shared" si="13"/>
        <v>1</v>
      </c>
      <c r="F225">
        <f t="shared" si="14"/>
        <v>-6.7213748829211099E-3</v>
      </c>
      <c r="G225">
        <f t="shared" si="15"/>
        <v>0</v>
      </c>
      <c r="H225">
        <f t="shared" si="16"/>
        <v>0</v>
      </c>
    </row>
    <row r="226" spans="1:8" x14ac:dyDescent="0.25">
      <c r="A226">
        <v>225</v>
      </c>
      <c r="B226" t="s">
        <v>226</v>
      </c>
      <c r="C226">
        <v>5.2095854297146499E-2</v>
      </c>
      <c r="D226">
        <v>-1</v>
      </c>
      <c r="E226">
        <f t="shared" si="13"/>
        <v>1</v>
      </c>
      <c r="F226">
        <f t="shared" si="14"/>
        <v>-5.2095854297146499E-2</v>
      </c>
      <c r="G226">
        <f t="shared" si="15"/>
        <v>0</v>
      </c>
      <c r="H226">
        <f t="shared" si="16"/>
        <v>0</v>
      </c>
    </row>
    <row r="227" spans="1:8" x14ac:dyDescent="0.25">
      <c r="A227">
        <v>226</v>
      </c>
      <c r="B227" t="s">
        <v>227</v>
      </c>
      <c r="C227">
        <v>2.80996974345528E-2</v>
      </c>
      <c r="D227">
        <v>1</v>
      </c>
      <c r="E227">
        <f t="shared" si="13"/>
        <v>1</v>
      </c>
      <c r="F227">
        <f t="shared" si="14"/>
        <v>2.80996974345528E-2</v>
      </c>
      <c r="G227">
        <f t="shared" si="15"/>
        <v>1</v>
      </c>
      <c r="H227">
        <f t="shared" si="16"/>
        <v>1</v>
      </c>
    </row>
    <row r="228" spans="1:8" x14ac:dyDescent="0.25">
      <c r="A228">
        <v>227</v>
      </c>
      <c r="B228" t="s">
        <v>228</v>
      </c>
      <c r="C228">
        <v>5.4787825367279601E-2</v>
      </c>
      <c r="D228">
        <v>-1</v>
      </c>
      <c r="E228">
        <f t="shared" si="13"/>
        <v>1</v>
      </c>
      <c r="F228">
        <f t="shared" si="14"/>
        <v>-5.4787825367279601E-2</v>
      </c>
      <c r="G228">
        <f t="shared" si="15"/>
        <v>0</v>
      </c>
      <c r="H228">
        <f t="shared" si="16"/>
        <v>0</v>
      </c>
    </row>
    <row r="229" spans="1:8" x14ac:dyDescent="0.25">
      <c r="A229">
        <v>228</v>
      </c>
      <c r="B229" t="s">
        <v>229</v>
      </c>
      <c r="C229">
        <v>-2.1728875765154699E-4</v>
      </c>
      <c r="D229">
        <v>-1</v>
      </c>
      <c r="E229">
        <f t="shared" si="13"/>
        <v>1</v>
      </c>
      <c r="F229">
        <f t="shared" si="14"/>
        <v>2.1728875765154699E-4</v>
      </c>
      <c r="G229">
        <f t="shared" si="15"/>
        <v>1</v>
      </c>
      <c r="H229">
        <f t="shared" si="16"/>
        <v>1</v>
      </c>
    </row>
    <row r="230" spans="1:8" x14ac:dyDescent="0.25">
      <c r="A230">
        <v>229</v>
      </c>
      <c r="B230" t="s">
        <v>230</v>
      </c>
      <c r="C230">
        <v>2.9360259814290499E-2</v>
      </c>
      <c r="D230">
        <v>1</v>
      </c>
      <c r="E230">
        <f t="shared" si="13"/>
        <v>1</v>
      </c>
      <c r="F230">
        <f t="shared" si="14"/>
        <v>2.9360259814290499E-2</v>
      </c>
      <c r="G230">
        <f t="shared" si="15"/>
        <v>1</v>
      </c>
      <c r="H230">
        <f t="shared" si="16"/>
        <v>1</v>
      </c>
    </row>
    <row r="231" spans="1:8" x14ac:dyDescent="0.25">
      <c r="A231">
        <v>230</v>
      </c>
      <c r="B231" t="s">
        <v>231</v>
      </c>
      <c r="C231">
        <v>-3.8078771403442097E-2</v>
      </c>
      <c r="D231">
        <v>-1</v>
      </c>
      <c r="E231">
        <f t="shared" si="13"/>
        <v>1</v>
      </c>
      <c r="F231">
        <f t="shared" si="14"/>
        <v>3.8078771403442097E-2</v>
      </c>
      <c r="G231">
        <f t="shared" si="15"/>
        <v>1</v>
      </c>
      <c r="H231">
        <f t="shared" si="16"/>
        <v>1</v>
      </c>
    </row>
    <row r="232" spans="1:8" x14ac:dyDescent="0.25">
      <c r="A232">
        <v>231</v>
      </c>
      <c r="B232" t="s">
        <v>232</v>
      </c>
      <c r="C232">
        <v>4.9821473101441298E-2</v>
      </c>
      <c r="D232">
        <v>1</v>
      </c>
      <c r="E232">
        <f t="shared" si="13"/>
        <v>1</v>
      </c>
      <c r="F232">
        <f t="shared" si="14"/>
        <v>4.9821473101441298E-2</v>
      </c>
      <c r="G232">
        <f t="shared" si="15"/>
        <v>1</v>
      </c>
      <c r="H232">
        <f t="shared" si="16"/>
        <v>1</v>
      </c>
    </row>
    <row r="233" spans="1:8" x14ac:dyDescent="0.25">
      <c r="A233">
        <v>232</v>
      </c>
      <c r="B233" t="s">
        <v>233</v>
      </c>
      <c r="C233">
        <v>-2.6219873049120501E-2</v>
      </c>
      <c r="D233">
        <v>-1</v>
      </c>
      <c r="E233">
        <f t="shared" si="13"/>
        <v>1</v>
      </c>
      <c r="F233">
        <f t="shared" si="14"/>
        <v>2.6219873049120501E-2</v>
      </c>
      <c r="G233">
        <f t="shared" si="15"/>
        <v>1</v>
      </c>
      <c r="H233">
        <f t="shared" si="16"/>
        <v>1</v>
      </c>
    </row>
    <row r="234" spans="1:8" x14ac:dyDescent="0.25">
      <c r="A234">
        <v>233</v>
      </c>
      <c r="B234" t="s">
        <v>234</v>
      </c>
      <c r="C234">
        <v>-6.8882886968495094E-2</v>
      </c>
      <c r="D234">
        <v>1</v>
      </c>
      <c r="E234">
        <f t="shared" si="13"/>
        <v>1</v>
      </c>
      <c r="F234">
        <f t="shared" si="14"/>
        <v>-6.8882886968495094E-2</v>
      </c>
      <c r="G234">
        <f t="shared" si="15"/>
        <v>0</v>
      </c>
      <c r="H234">
        <f t="shared" si="16"/>
        <v>0</v>
      </c>
    </row>
    <row r="235" spans="1:8" x14ac:dyDescent="0.25">
      <c r="A235">
        <v>234</v>
      </c>
      <c r="B235" t="s">
        <v>235</v>
      </c>
      <c r="C235">
        <v>-9.8562876318944491E-4</v>
      </c>
      <c r="D235">
        <v>-1</v>
      </c>
      <c r="E235">
        <f t="shared" si="13"/>
        <v>1</v>
      </c>
      <c r="F235">
        <f t="shared" si="14"/>
        <v>9.8562876318944491E-4</v>
      </c>
      <c r="G235">
        <f t="shared" si="15"/>
        <v>1</v>
      </c>
      <c r="H235">
        <f t="shared" si="16"/>
        <v>1</v>
      </c>
    </row>
    <row r="236" spans="1:8" x14ac:dyDescent="0.25">
      <c r="A236">
        <v>235</v>
      </c>
      <c r="B236" t="s">
        <v>236</v>
      </c>
      <c r="C236">
        <v>9.1548673988939094E-2</v>
      </c>
      <c r="D236">
        <v>-1</v>
      </c>
      <c r="E236">
        <f t="shared" si="13"/>
        <v>1</v>
      </c>
      <c r="F236">
        <f t="shared" si="14"/>
        <v>-9.1548673988939094E-2</v>
      </c>
      <c r="G236">
        <f t="shared" si="15"/>
        <v>0</v>
      </c>
      <c r="H236">
        <f t="shared" si="16"/>
        <v>0</v>
      </c>
    </row>
    <row r="237" spans="1:8" x14ac:dyDescent="0.25">
      <c r="A237">
        <v>236</v>
      </c>
      <c r="B237" t="s">
        <v>237</v>
      </c>
      <c r="C237">
        <v>2.6875555655600701E-2</v>
      </c>
      <c r="D237">
        <v>-1</v>
      </c>
      <c r="E237">
        <f t="shared" si="13"/>
        <v>1</v>
      </c>
      <c r="F237">
        <f t="shared" si="14"/>
        <v>-2.6875555655600701E-2</v>
      </c>
      <c r="G237">
        <f t="shared" si="15"/>
        <v>0</v>
      </c>
      <c r="H237">
        <f t="shared" si="16"/>
        <v>0</v>
      </c>
    </row>
    <row r="238" spans="1:8" x14ac:dyDescent="0.25">
      <c r="A238">
        <v>237</v>
      </c>
      <c r="B238" t="s">
        <v>238</v>
      </c>
      <c r="C238">
        <v>5.6433415613585697E-2</v>
      </c>
      <c r="D238">
        <v>-1</v>
      </c>
      <c r="E238">
        <f t="shared" si="13"/>
        <v>1</v>
      </c>
      <c r="F238">
        <f t="shared" si="14"/>
        <v>-5.6433415613585697E-2</v>
      </c>
      <c r="G238">
        <f t="shared" si="15"/>
        <v>0</v>
      </c>
      <c r="H238">
        <f t="shared" si="16"/>
        <v>0</v>
      </c>
    </row>
    <row r="239" spans="1:8" x14ac:dyDescent="0.25">
      <c r="A239">
        <v>238</v>
      </c>
      <c r="B239" t="s">
        <v>239</v>
      </c>
      <c r="C239">
        <v>2.2132610203902201E-2</v>
      </c>
      <c r="D239">
        <v>1</v>
      </c>
      <c r="E239">
        <f t="shared" si="13"/>
        <v>1</v>
      </c>
      <c r="F239">
        <f t="shared" si="14"/>
        <v>2.2132610203902201E-2</v>
      </c>
      <c r="G239">
        <f t="shared" si="15"/>
        <v>1</v>
      </c>
      <c r="H239">
        <f t="shared" si="16"/>
        <v>1</v>
      </c>
    </row>
    <row r="240" spans="1:8" x14ac:dyDescent="0.25">
      <c r="A240">
        <v>239</v>
      </c>
      <c r="B240" t="s">
        <v>240</v>
      </c>
      <c r="C240">
        <v>-2.7184815474197401E-2</v>
      </c>
      <c r="D240">
        <v>1</v>
      </c>
      <c r="E240">
        <f t="shared" si="13"/>
        <v>1</v>
      </c>
      <c r="F240">
        <f t="shared" si="14"/>
        <v>-2.7184815474197401E-2</v>
      </c>
      <c r="G240">
        <f t="shared" si="15"/>
        <v>0</v>
      </c>
      <c r="H240">
        <f t="shared" si="16"/>
        <v>0</v>
      </c>
    </row>
    <row r="241" spans="1:8" x14ac:dyDescent="0.25">
      <c r="A241">
        <v>240</v>
      </c>
      <c r="B241" t="s">
        <v>241</v>
      </c>
      <c r="C241">
        <v>-1.7927407626061698E-2</v>
      </c>
      <c r="D241">
        <v>-1</v>
      </c>
      <c r="E241">
        <f t="shared" si="13"/>
        <v>1</v>
      </c>
      <c r="F241">
        <f t="shared" si="14"/>
        <v>1.7927407626061698E-2</v>
      </c>
      <c r="G241">
        <f t="shared" si="15"/>
        <v>1</v>
      </c>
      <c r="H241">
        <f t="shared" si="16"/>
        <v>1</v>
      </c>
    </row>
    <row r="242" spans="1:8" x14ac:dyDescent="0.25">
      <c r="A242">
        <v>241</v>
      </c>
      <c r="B242" t="s">
        <v>242</v>
      </c>
      <c r="C242">
        <v>-2.1548625049136301E-2</v>
      </c>
      <c r="D242">
        <v>-1</v>
      </c>
      <c r="E242">
        <f t="shared" si="13"/>
        <v>1</v>
      </c>
      <c r="F242">
        <f t="shared" si="14"/>
        <v>2.1548625049136301E-2</v>
      </c>
      <c r="G242">
        <f t="shared" si="15"/>
        <v>1</v>
      </c>
      <c r="H242">
        <f t="shared" si="16"/>
        <v>1</v>
      </c>
    </row>
    <row r="243" spans="1:8" x14ac:dyDescent="0.25">
      <c r="A243">
        <v>242</v>
      </c>
      <c r="B243" t="s">
        <v>243</v>
      </c>
      <c r="C243">
        <v>-2.8456976172533E-2</v>
      </c>
      <c r="D243">
        <v>-1</v>
      </c>
      <c r="E243">
        <f t="shared" si="13"/>
        <v>1</v>
      </c>
      <c r="F243">
        <f t="shared" si="14"/>
        <v>2.8456976172533E-2</v>
      </c>
      <c r="G243">
        <f t="shared" si="15"/>
        <v>1</v>
      </c>
      <c r="H243">
        <f t="shared" si="16"/>
        <v>1</v>
      </c>
    </row>
    <row r="244" spans="1:8" x14ac:dyDescent="0.25">
      <c r="A244">
        <v>243</v>
      </c>
      <c r="B244" t="s">
        <v>244</v>
      </c>
      <c r="C244">
        <v>5.0168970894949302E-2</v>
      </c>
      <c r="D244">
        <v>1</v>
      </c>
      <c r="E244">
        <f t="shared" si="13"/>
        <v>1</v>
      </c>
      <c r="F244">
        <f t="shared" si="14"/>
        <v>5.0168970894949302E-2</v>
      </c>
      <c r="G244">
        <f t="shared" si="15"/>
        <v>1</v>
      </c>
      <c r="H244">
        <f t="shared" si="16"/>
        <v>1</v>
      </c>
    </row>
    <row r="245" spans="1:8" x14ac:dyDescent="0.25">
      <c r="A245">
        <v>244</v>
      </c>
      <c r="B245" t="s">
        <v>245</v>
      </c>
      <c r="C245">
        <v>-7.1241211324928E-2</v>
      </c>
      <c r="D245">
        <v>-1</v>
      </c>
      <c r="E245">
        <f t="shared" si="13"/>
        <v>1</v>
      </c>
      <c r="F245">
        <f t="shared" si="14"/>
        <v>7.1241211324928E-2</v>
      </c>
      <c r="G245">
        <f t="shared" si="15"/>
        <v>1</v>
      </c>
      <c r="H245">
        <f t="shared" si="16"/>
        <v>1</v>
      </c>
    </row>
    <row r="246" spans="1:8" x14ac:dyDescent="0.25">
      <c r="A246">
        <v>245</v>
      </c>
      <c r="B246" t="s">
        <v>246</v>
      </c>
      <c r="C246">
        <v>4.1527790661836698E-2</v>
      </c>
      <c r="D246">
        <v>-1</v>
      </c>
      <c r="E246">
        <f t="shared" si="13"/>
        <v>1</v>
      </c>
      <c r="F246">
        <f t="shared" si="14"/>
        <v>-4.1527790661836698E-2</v>
      </c>
      <c r="G246">
        <f t="shared" si="15"/>
        <v>0</v>
      </c>
      <c r="H246">
        <f t="shared" si="16"/>
        <v>0</v>
      </c>
    </row>
    <row r="247" spans="1:8" x14ac:dyDescent="0.25">
      <c r="A247">
        <v>246</v>
      </c>
      <c r="B247" t="s">
        <v>247</v>
      </c>
      <c r="C247">
        <v>6.2231242528083902E-2</v>
      </c>
      <c r="D247">
        <v>1</v>
      </c>
      <c r="E247">
        <f t="shared" si="13"/>
        <v>1</v>
      </c>
      <c r="F247">
        <f t="shared" si="14"/>
        <v>6.2231242528083902E-2</v>
      </c>
      <c r="G247">
        <f t="shared" si="15"/>
        <v>1</v>
      </c>
      <c r="H247">
        <f t="shared" si="16"/>
        <v>1</v>
      </c>
    </row>
    <row r="248" spans="1:8" x14ac:dyDescent="0.25">
      <c r="A248">
        <v>247</v>
      </c>
      <c r="B248" t="s">
        <v>248</v>
      </c>
      <c r="C248">
        <v>-6.0940866806725502E-2</v>
      </c>
      <c r="D248">
        <v>-1</v>
      </c>
      <c r="E248">
        <f t="shared" si="13"/>
        <v>1</v>
      </c>
      <c r="F248">
        <f t="shared" si="14"/>
        <v>6.0940866806725502E-2</v>
      </c>
      <c r="G248">
        <f t="shared" si="15"/>
        <v>1</v>
      </c>
      <c r="H248">
        <f t="shared" si="16"/>
        <v>1</v>
      </c>
    </row>
    <row r="249" spans="1:8" x14ac:dyDescent="0.25">
      <c r="A249">
        <v>248</v>
      </c>
      <c r="B249" t="s">
        <v>249</v>
      </c>
      <c r="C249">
        <v>1.83761928568127E-2</v>
      </c>
      <c r="D249">
        <v>-1</v>
      </c>
      <c r="E249">
        <f t="shared" si="13"/>
        <v>1</v>
      </c>
      <c r="F249">
        <f t="shared" si="14"/>
        <v>-1.83761928568127E-2</v>
      </c>
      <c r="G249">
        <f t="shared" si="15"/>
        <v>0</v>
      </c>
      <c r="H249">
        <f t="shared" si="16"/>
        <v>0</v>
      </c>
    </row>
    <row r="250" spans="1:8" x14ac:dyDescent="0.25">
      <c r="A250">
        <v>249</v>
      </c>
      <c r="B250" t="s">
        <v>250</v>
      </c>
      <c r="C250">
        <v>0.11486363826448499</v>
      </c>
      <c r="D250">
        <v>-1</v>
      </c>
      <c r="E250">
        <f t="shared" si="13"/>
        <v>1</v>
      </c>
      <c r="F250">
        <f t="shared" si="14"/>
        <v>-0.11486363826448499</v>
      </c>
      <c r="G250">
        <f t="shared" si="15"/>
        <v>0</v>
      </c>
      <c r="H250">
        <f t="shared" si="16"/>
        <v>0</v>
      </c>
    </row>
    <row r="251" spans="1:8" x14ac:dyDescent="0.25">
      <c r="A251">
        <v>250</v>
      </c>
      <c r="B251" t="s">
        <v>251</v>
      </c>
      <c r="C251">
        <v>-2.3006174308031601E-2</v>
      </c>
      <c r="D251">
        <v>1</v>
      </c>
      <c r="E251">
        <f t="shared" si="13"/>
        <v>1</v>
      </c>
      <c r="F251">
        <f t="shared" si="14"/>
        <v>-2.3006174308031601E-2</v>
      </c>
      <c r="G251">
        <f t="shared" si="15"/>
        <v>0</v>
      </c>
      <c r="H251">
        <f t="shared" si="16"/>
        <v>0</v>
      </c>
    </row>
    <row r="252" spans="1:8" x14ac:dyDescent="0.25">
      <c r="A252">
        <v>251</v>
      </c>
      <c r="B252" t="s">
        <v>252</v>
      </c>
      <c r="C252">
        <v>3.8489183353705901E-2</v>
      </c>
      <c r="D252">
        <v>-1</v>
      </c>
      <c r="E252">
        <f t="shared" si="13"/>
        <v>1</v>
      </c>
      <c r="F252">
        <f t="shared" si="14"/>
        <v>-3.8489183353705901E-2</v>
      </c>
      <c r="G252">
        <f t="shared" si="15"/>
        <v>0</v>
      </c>
      <c r="H252">
        <f t="shared" si="16"/>
        <v>0</v>
      </c>
    </row>
    <row r="253" spans="1:8" x14ac:dyDescent="0.25">
      <c r="A253">
        <v>252</v>
      </c>
      <c r="B253" t="s">
        <v>253</v>
      </c>
      <c r="C253">
        <v>-4.4728855916467997E-2</v>
      </c>
      <c r="D253">
        <v>-1</v>
      </c>
      <c r="E253">
        <f t="shared" si="13"/>
        <v>1</v>
      </c>
      <c r="F253">
        <f t="shared" si="14"/>
        <v>4.4728855916467997E-2</v>
      </c>
      <c r="G253">
        <f t="shared" si="15"/>
        <v>1</v>
      </c>
      <c r="H253">
        <f t="shared" si="16"/>
        <v>1</v>
      </c>
    </row>
    <row r="254" spans="1:8" x14ac:dyDescent="0.25">
      <c r="A254">
        <v>253</v>
      </c>
      <c r="B254" t="s">
        <v>254</v>
      </c>
      <c r="C254">
        <v>5.20963985688555E-2</v>
      </c>
      <c r="D254">
        <v>-1</v>
      </c>
      <c r="E254">
        <f t="shared" si="13"/>
        <v>1</v>
      </c>
      <c r="F254">
        <f t="shared" si="14"/>
        <v>-5.20963985688555E-2</v>
      </c>
      <c r="G254">
        <f t="shared" si="15"/>
        <v>0</v>
      </c>
      <c r="H254">
        <f t="shared" si="16"/>
        <v>0</v>
      </c>
    </row>
    <row r="255" spans="1:8" x14ac:dyDescent="0.25">
      <c r="A255">
        <v>254</v>
      </c>
      <c r="B255" t="s">
        <v>255</v>
      </c>
      <c r="C255">
        <v>1.3396202467720299E-2</v>
      </c>
      <c r="D255">
        <v>1</v>
      </c>
      <c r="E255">
        <f t="shared" si="13"/>
        <v>1</v>
      </c>
      <c r="F255">
        <f t="shared" si="14"/>
        <v>1.3396202467720299E-2</v>
      </c>
      <c r="G255">
        <f t="shared" si="15"/>
        <v>1</v>
      </c>
      <c r="H255">
        <f t="shared" si="16"/>
        <v>1</v>
      </c>
    </row>
    <row r="256" spans="1:8" x14ac:dyDescent="0.25">
      <c r="A256">
        <v>255</v>
      </c>
      <c r="B256" t="s">
        <v>256</v>
      </c>
      <c r="C256">
        <v>9.8580857292616494E-2</v>
      </c>
      <c r="D256">
        <v>1</v>
      </c>
      <c r="E256">
        <f t="shared" si="13"/>
        <v>1</v>
      </c>
      <c r="F256">
        <f t="shared" si="14"/>
        <v>9.8580857292616494E-2</v>
      </c>
      <c r="G256">
        <f t="shared" si="15"/>
        <v>1</v>
      </c>
      <c r="H256">
        <f t="shared" si="16"/>
        <v>1</v>
      </c>
    </row>
    <row r="257" spans="1:8" x14ac:dyDescent="0.25">
      <c r="A257">
        <v>256</v>
      </c>
      <c r="B257" t="s">
        <v>257</v>
      </c>
      <c r="C257">
        <v>-7.3834187548234606E-2</v>
      </c>
      <c r="D257">
        <v>-1</v>
      </c>
      <c r="E257">
        <f t="shared" si="13"/>
        <v>1</v>
      </c>
      <c r="F257">
        <f t="shared" si="14"/>
        <v>7.3834187548234606E-2</v>
      </c>
      <c r="G257">
        <f t="shared" si="15"/>
        <v>1</v>
      </c>
      <c r="H257">
        <f t="shared" si="16"/>
        <v>1</v>
      </c>
    </row>
    <row r="258" spans="1:8" x14ac:dyDescent="0.25">
      <c r="A258">
        <v>257</v>
      </c>
      <c r="B258" t="s">
        <v>258</v>
      </c>
      <c r="C258">
        <v>8.2431006552471098E-3</v>
      </c>
      <c r="D258">
        <v>1</v>
      </c>
      <c r="E258">
        <f t="shared" si="13"/>
        <v>1</v>
      </c>
      <c r="F258">
        <f t="shared" si="14"/>
        <v>8.2431006552471098E-3</v>
      </c>
      <c r="G258">
        <f t="shared" si="15"/>
        <v>1</v>
      </c>
      <c r="H258">
        <f t="shared" si="16"/>
        <v>1</v>
      </c>
    </row>
    <row r="259" spans="1:8" x14ac:dyDescent="0.25">
      <c r="A259">
        <v>258</v>
      </c>
      <c r="B259" t="s">
        <v>259</v>
      </c>
      <c r="C259">
        <v>-2.0038717649774201E-2</v>
      </c>
      <c r="D259">
        <v>1</v>
      </c>
      <c r="E259">
        <f t="shared" ref="E259:E301" si="17">IF(OR(D259=1,D259=-1),1,0)</f>
        <v>1</v>
      </c>
      <c r="F259">
        <f t="shared" ref="F259:F301" si="18">C259*D259</f>
        <v>-2.0038717649774201E-2</v>
      </c>
      <c r="G259">
        <f t="shared" ref="G259:G301" si="19">IF(F259&gt;0,1,0)</f>
        <v>0</v>
      </c>
      <c r="H259">
        <f t="shared" ref="H259:H301" si="20">E259*G259</f>
        <v>0</v>
      </c>
    </row>
    <row r="260" spans="1:8" x14ac:dyDescent="0.25">
      <c r="A260">
        <v>259</v>
      </c>
      <c r="B260" t="s">
        <v>260</v>
      </c>
      <c r="C260">
        <v>-1.09996424088764E-2</v>
      </c>
      <c r="D260">
        <v>-1</v>
      </c>
      <c r="E260">
        <f t="shared" si="17"/>
        <v>1</v>
      </c>
      <c r="F260">
        <f t="shared" si="18"/>
        <v>1.09996424088764E-2</v>
      </c>
      <c r="G260">
        <f t="shared" si="19"/>
        <v>1</v>
      </c>
      <c r="H260">
        <f t="shared" si="20"/>
        <v>1</v>
      </c>
    </row>
    <row r="261" spans="1:8" x14ac:dyDescent="0.25">
      <c r="A261">
        <v>260</v>
      </c>
      <c r="B261" t="s">
        <v>261</v>
      </c>
      <c r="C261">
        <v>-4.6807957163206203E-2</v>
      </c>
      <c r="D261">
        <v>-1</v>
      </c>
      <c r="E261">
        <f t="shared" si="17"/>
        <v>1</v>
      </c>
      <c r="F261">
        <f t="shared" si="18"/>
        <v>4.6807957163206203E-2</v>
      </c>
      <c r="G261">
        <f t="shared" si="19"/>
        <v>1</v>
      </c>
      <c r="H261">
        <f t="shared" si="20"/>
        <v>1</v>
      </c>
    </row>
    <row r="262" spans="1:8" x14ac:dyDescent="0.25">
      <c r="A262">
        <v>261</v>
      </c>
      <c r="B262" t="s">
        <v>262</v>
      </c>
      <c r="C262">
        <v>-4.6903352202275199E-2</v>
      </c>
      <c r="D262">
        <v>-1</v>
      </c>
      <c r="E262">
        <f t="shared" si="17"/>
        <v>1</v>
      </c>
      <c r="F262">
        <f t="shared" si="18"/>
        <v>4.6903352202275199E-2</v>
      </c>
      <c r="G262">
        <f t="shared" si="19"/>
        <v>1</v>
      </c>
      <c r="H262">
        <f t="shared" si="20"/>
        <v>1</v>
      </c>
    </row>
    <row r="263" spans="1:8" x14ac:dyDescent="0.25">
      <c r="A263">
        <v>262</v>
      </c>
      <c r="B263" t="s">
        <v>263</v>
      </c>
      <c r="C263">
        <v>2.40374141994378E-2</v>
      </c>
      <c r="D263">
        <v>-1</v>
      </c>
      <c r="E263">
        <f t="shared" si="17"/>
        <v>1</v>
      </c>
      <c r="F263">
        <f t="shared" si="18"/>
        <v>-2.40374141994378E-2</v>
      </c>
      <c r="G263">
        <f t="shared" si="19"/>
        <v>0</v>
      </c>
      <c r="H263">
        <f t="shared" si="20"/>
        <v>0</v>
      </c>
    </row>
    <row r="264" spans="1:8" x14ac:dyDescent="0.25">
      <c r="A264">
        <v>263</v>
      </c>
      <c r="B264" t="s">
        <v>264</v>
      </c>
      <c r="C264">
        <v>-5.3907491376231097E-2</v>
      </c>
      <c r="D264">
        <v>0</v>
      </c>
      <c r="E264">
        <f t="shared" si="17"/>
        <v>0</v>
      </c>
      <c r="F264">
        <f t="shared" si="18"/>
        <v>0</v>
      </c>
      <c r="G264">
        <f t="shared" si="19"/>
        <v>0</v>
      </c>
      <c r="H264">
        <f t="shared" si="20"/>
        <v>0</v>
      </c>
    </row>
    <row r="265" spans="1:8" x14ac:dyDescent="0.25">
      <c r="A265">
        <v>264</v>
      </c>
      <c r="B265" t="s">
        <v>265</v>
      </c>
      <c r="C265">
        <v>8.7203533354482402E-2</v>
      </c>
      <c r="D265">
        <v>1</v>
      </c>
      <c r="E265">
        <f t="shared" si="17"/>
        <v>1</v>
      </c>
      <c r="F265">
        <f t="shared" si="18"/>
        <v>8.7203533354482402E-2</v>
      </c>
      <c r="G265">
        <f t="shared" si="19"/>
        <v>1</v>
      </c>
      <c r="H265">
        <f t="shared" si="20"/>
        <v>1</v>
      </c>
    </row>
    <row r="266" spans="1:8" x14ac:dyDescent="0.25">
      <c r="A266">
        <v>265</v>
      </c>
      <c r="B266" t="s">
        <v>266</v>
      </c>
      <c r="C266">
        <v>-3.6379539527376603E-2</v>
      </c>
      <c r="D266">
        <v>1</v>
      </c>
      <c r="E266">
        <f t="shared" si="17"/>
        <v>1</v>
      </c>
      <c r="F266">
        <f t="shared" si="18"/>
        <v>-3.6379539527376603E-2</v>
      </c>
      <c r="G266">
        <f t="shared" si="19"/>
        <v>0</v>
      </c>
      <c r="H266">
        <f t="shared" si="20"/>
        <v>0</v>
      </c>
    </row>
    <row r="267" spans="1:8" x14ac:dyDescent="0.25">
      <c r="A267">
        <v>266</v>
      </c>
      <c r="B267" t="s">
        <v>267</v>
      </c>
      <c r="C267">
        <v>2.05297681596017E-2</v>
      </c>
      <c r="D267">
        <v>1</v>
      </c>
      <c r="E267">
        <f t="shared" si="17"/>
        <v>1</v>
      </c>
      <c r="F267">
        <f t="shared" si="18"/>
        <v>2.05297681596017E-2</v>
      </c>
      <c r="G267">
        <f t="shared" si="19"/>
        <v>1</v>
      </c>
      <c r="H267">
        <f t="shared" si="20"/>
        <v>1</v>
      </c>
    </row>
    <row r="268" spans="1:8" x14ac:dyDescent="0.25">
      <c r="A268">
        <v>267</v>
      </c>
      <c r="B268" t="s">
        <v>268</v>
      </c>
      <c r="C268">
        <v>2.5317954698034599E-2</v>
      </c>
      <c r="D268">
        <v>-1</v>
      </c>
      <c r="E268">
        <f t="shared" si="17"/>
        <v>1</v>
      </c>
      <c r="F268">
        <f t="shared" si="18"/>
        <v>-2.5317954698034599E-2</v>
      </c>
      <c r="G268">
        <f t="shared" si="19"/>
        <v>0</v>
      </c>
      <c r="H268">
        <f t="shared" si="20"/>
        <v>0</v>
      </c>
    </row>
    <row r="269" spans="1:8" x14ac:dyDescent="0.25">
      <c r="A269">
        <v>268</v>
      </c>
      <c r="B269" t="s">
        <v>269</v>
      </c>
      <c r="C269">
        <v>1.1771492999054899E-2</v>
      </c>
      <c r="D269">
        <v>-1</v>
      </c>
      <c r="E269">
        <f t="shared" si="17"/>
        <v>1</v>
      </c>
      <c r="F269">
        <f t="shared" si="18"/>
        <v>-1.1771492999054899E-2</v>
      </c>
      <c r="G269">
        <f t="shared" si="19"/>
        <v>0</v>
      </c>
      <c r="H269">
        <f t="shared" si="20"/>
        <v>0</v>
      </c>
    </row>
    <row r="270" spans="1:8" x14ac:dyDescent="0.25">
      <c r="A270">
        <v>269</v>
      </c>
      <c r="B270" t="s">
        <v>270</v>
      </c>
      <c r="C270">
        <v>-1.8975131834036499E-2</v>
      </c>
      <c r="D270">
        <v>-1</v>
      </c>
      <c r="E270">
        <f t="shared" si="17"/>
        <v>1</v>
      </c>
      <c r="F270">
        <f t="shared" si="18"/>
        <v>1.8975131834036499E-2</v>
      </c>
      <c r="G270">
        <f t="shared" si="19"/>
        <v>1</v>
      </c>
      <c r="H270">
        <f t="shared" si="20"/>
        <v>1</v>
      </c>
    </row>
    <row r="271" spans="1:8" x14ac:dyDescent="0.25">
      <c r="A271">
        <v>270</v>
      </c>
      <c r="B271" t="s">
        <v>271</v>
      </c>
      <c r="C271">
        <v>4.8671719971529999E-3</v>
      </c>
      <c r="D271">
        <v>1</v>
      </c>
      <c r="E271">
        <f t="shared" si="17"/>
        <v>1</v>
      </c>
      <c r="F271">
        <f t="shared" si="18"/>
        <v>4.8671719971529999E-3</v>
      </c>
      <c r="G271">
        <f t="shared" si="19"/>
        <v>1</v>
      </c>
      <c r="H271">
        <f t="shared" si="20"/>
        <v>1</v>
      </c>
    </row>
    <row r="272" spans="1:8" x14ac:dyDescent="0.25">
      <c r="A272">
        <v>271</v>
      </c>
      <c r="B272" t="s">
        <v>272</v>
      </c>
      <c r="C272">
        <v>5.6513337631158199E-2</v>
      </c>
      <c r="D272">
        <v>1</v>
      </c>
      <c r="E272">
        <f t="shared" si="17"/>
        <v>1</v>
      </c>
      <c r="F272">
        <f t="shared" si="18"/>
        <v>5.6513337631158199E-2</v>
      </c>
      <c r="G272">
        <f t="shared" si="19"/>
        <v>1</v>
      </c>
      <c r="H272">
        <f t="shared" si="20"/>
        <v>1</v>
      </c>
    </row>
    <row r="273" spans="1:8" x14ac:dyDescent="0.25">
      <c r="A273">
        <v>272</v>
      </c>
      <c r="B273" t="s">
        <v>273</v>
      </c>
      <c r="C273">
        <v>-6.3198016168978605E-2</v>
      </c>
      <c r="D273">
        <v>1</v>
      </c>
      <c r="E273">
        <f t="shared" si="17"/>
        <v>1</v>
      </c>
      <c r="F273">
        <f t="shared" si="18"/>
        <v>-6.3198016168978605E-2</v>
      </c>
      <c r="G273">
        <f t="shared" si="19"/>
        <v>0</v>
      </c>
      <c r="H273">
        <f t="shared" si="20"/>
        <v>0</v>
      </c>
    </row>
    <row r="274" spans="1:8" x14ac:dyDescent="0.25">
      <c r="A274">
        <v>273</v>
      </c>
      <c r="B274" t="s">
        <v>274</v>
      </c>
      <c r="C274">
        <v>-3.2243891282439499E-2</v>
      </c>
      <c r="D274">
        <v>1</v>
      </c>
      <c r="E274">
        <f t="shared" si="17"/>
        <v>1</v>
      </c>
      <c r="F274">
        <f t="shared" si="18"/>
        <v>-3.2243891282439499E-2</v>
      </c>
      <c r="G274">
        <f t="shared" si="19"/>
        <v>0</v>
      </c>
      <c r="H274">
        <f t="shared" si="20"/>
        <v>0</v>
      </c>
    </row>
    <row r="275" spans="1:8" x14ac:dyDescent="0.25">
      <c r="A275">
        <v>274</v>
      </c>
      <c r="B275" t="s">
        <v>275</v>
      </c>
      <c r="C275">
        <v>2.0673722178358401E-3</v>
      </c>
      <c r="D275">
        <v>-1</v>
      </c>
      <c r="E275">
        <f t="shared" si="17"/>
        <v>1</v>
      </c>
      <c r="F275">
        <f t="shared" si="18"/>
        <v>-2.0673722178358401E-3</v>
      </c>
      <c r="G275">
        <f t="shared" si="19"/>
        <v>0</v>
      </c>
      <c r="H275">
        <f t="shared" si="20"/>
        <v>0</v>
      </c>
    </row>
    <row r="276" spans="1:8" x14ac:dyDescent="0.25">
      <c r="A276">
        <v>275</v>
      </c>
      <c r="B276" t="s">
        <v>276</v>
      </c>
      <c r="C276">
        <v>-1.3742668460516E-2</v>
      </c>
      <c r="D276">
        <v>1</v>
      </c>
      <c r="E276">
        <f t="shared" si="17"/>
        <v>1</v>
      </c>
      <c r="F276">
        <f t="shared" si="18"/>
        <v>-1.3742668460516E-2</v>
      </c>
      <c r="G276">
        <f t="shared" si="19"/>
        <v>0</v>
      </c>
      <c r="H276">
        <f t="shared" si="20"/>
        <v>0</v>
      </c>
    </row>
    <row r="277" spans="1:8" x14ac:dyDescent="0.25">
      <c r="A277">
        <v>276</v>
      </c>
      <c r="B277" t="s">
        <v>277</v>
      </c>
      <c r="C277">
        <v>6.4034627534277799E-2</v>
      </c>
      <c r="D277">
        <v>-1</v>
      </c>
      <c r="E277">
        <f t="shared" si="17"/>
        <v>1</v>
      </c>
      <c r="F277">
        <f t="shared" si="18"/>
        <v>-6.4034627534277799E-2</v>
      </c>
      <c r="G277">
        <f t="shared" si="19"/>
        <v>0</v>
      </c>
      <c r="H277">
        <f t="shared" si="20"/>
        <v>0</v>
      </c>
    </row>
    <row r="278" spans="1:8" x14ac:dyDescent="0.25">
      <c r="A278">
        <v>277</v>
      </c>
      <c r="B278" t="s">
        <v>278</v>
      </c>
      <c r="C278">
        <v>3.5410720169354301E-2</v>
      </c>
      <c r="D278">
        <v>1</v>
      </c>
      <c r="E278">
        <f t="shared" si="17"/>
        <v>1</v>
      </c>
      <c r="F278">
        <f t="shared" si="18"/>
        <v>3.5410720169354301E-2</v>
      </c>
      <c r="G278">
        <f t="shared" si="19"/>
        <v>1</v>
      </c>
      <c r="H278">
        <f t="shared" si="20"/>
        <v>1</v>
      </c>
    </row>
    <row r="279" spans="1:8" x14ac:dyDescent="0.25">
      <c r="A279">
        <v>278</v>
      </c>
      <c r="B279" t="s">
        <v>279</v>
      </c>
      <c r="C279">
        <v>4.35384939247514E-3</v>
      </c>
      <c r="D279">
        <v>1</v>
      </c>
      <c r="E279">
        <f t="shared" si="17"/>
        <v>1</v>
      </c>
      <c r="F279">
        <f t="shared" si="18"/>
        <v>4.35384939247514E-3</v>
      </c>
      <c r="G279">
        <f t="shared" si="19"/>
        <v>1</v>
      </c>
      <c r="H279">
        <f t="shared" si="20"/>
        <v>1</v>
      </c>
    </row>
    <row r="280" spans="1:8" x14ac:dyDescent="0.25">
      <c r="A280">
        <v>279</v>
      </c>
      <c r="B280" t="s">
        <v>280</v>
      </c>
      <c r="C280">
        <v>-7.1106198227128894E-2</v>
      </c>
      <c r="D280">
        <v>1</v>
      </c>
      <c r="E280">
        <f t="shared" si="17"/>
        <v>1</v>
      </c>
      <c r="F280">
        <f t="shared" si="18"/>
        <v>-7.1106198227128894E-2</v>
      </c>
      <c r="G280">
        <f t="shared" si="19"/>
        <v>0</v>
      </c>
      <c r="H280">
        <f t="shared" si="20"/>
        <v>0</v>
      </c>
    </row>
    <row r="281" spans="1:8" x14ac:dyDescent="0.25">
      <c r="A281">
        <v>280</v>
      </c>
      <c r="B281" t="s">
        <v>281</v>
      </c>
      <c r="C281">
        <v>1.5517610945734899E-3</v>
      </c>
      <c r="D281">
        <v>0</v>
      </c>
      <c r="E281">
        <f t="shared" si="17"/>
        <v>0</v>
      </c>
      <c r="F281">
        <f t="shared" si="18"/>
        <v>0</v>
      </c>
      <c r="G281">
        <f t="shared" si="19"/>
        <v>0</v>
      </c>
      <c r="H281">
        <f t="shared" si="20"/>
        <v>0</v>
      </c>
    </row>
    <row r="282" spans="1:8" x14ac:dyDescent="0.25">
      <c r="A282">
        <v>281</v>
      </c>
      <c r="B282" t="s">
        <v>282</v>
      </c>
      <c r="C282">
        <v>-3.2495544385706301E-2</v>
      </c>
      <c r="D282">
        <v>-1</v>
      </c>
      <c r="E282">
        <f t="shared" si="17"/>
        <v>1</v>
      </c>
      <c r="F282">
        <f t="shared" si="18"/>
        <v>3.2495544385706301E-2</v>
      </c>
      <c r="G282">
        <f t="shared" si="19"/>
        <v>1</v>
      </c>
      <c r="H282">
        <f t="shared" si="20"/>
        <v>1</v>
      </c>
    </row>
    <row r="283" spans="1:8" x14ac:dyDescent="0.25">
      <c r="A283">
        <v>282</v>
      </c>
      <c r="B283" t="s">
        <v>283</v>
      </c>
      <c r="C283">
        <v>2.24763397170453E-3</v>
      </c>
      <c r="D283">
        <v>1</v>
      </c>
      <c r="E283">
        <f t="shared" si="17"/>
        <v>1</v>
      </c>
      <c r="F283">
        <f t="shared" si="18"/>
        <v>2.24763397170453E-3</v>
      </c>
      <c r="G283">
        <f t="shared" si="19"/>
        <v>1</v>
      </c>
      <c r="H283">
        <f t="shared" si="20"/>
        <v>1</v>
      </c>
    </row>
    <row r="284" spans="1:8" x14ac:dyDescent="0.25">
      <c r="A284">
        <v>283</v>
      </c>
      <c r="B284" t="s">
        <v>284</v>
      </c>
      <c r="C284">
        <v>-5.5217695669287498E-2</v>
      </c>
      <c r="D284">
        <v>1</v>
      </c>
      <c r="E284">
        <f t="shared" si="17"/>
        <v>1</v>
      </c>
      <c r="F284">
        <f t="shared" si="18"/>
        <v>-5.5217695669287498E-2</v>
      </c>
      <c r="G284">
        <f t="shared" si="19"/>
        <v>0</v>
      </c>
      <c r="H284">
        <f t="shared" si="20"/>
        <v>0</v>
      </c>
    </row>
    <row r="285" spans="1:8" x14ac:dyDescent="0.25">
      <c r="A285">
        <v>284</v>
      </c>
      <c r="B285" t="s">
        <v>285</v>
      </c>
      <c r="C285">
        <v>2.2276385938714002E-2</v>
      </c>
      <c r="D285">
        <v>-1</v>
      </c>
      <c r="E285">
        <f t="shared" si="17"/>
        <v>1</v>
      </c>
      <c r="F285">
        <f t="shared" si="18"/>
        <v>-2.2276385938714002E-2</v>
      </c>
      <c r="G285">
        <f t="shared" si="19"/>
        <v>0</v>
      </c>
      <c r="H285">
        <f t="shared" si="20"/>
        <v>0</v>
      </c>
    </row>
    <row r="286" spans="1:8" x14ac:dyDescent="0.25">
      <c r="A286">
        <v>285</v>
      </c>
      <c r="B286" t="s">
        <v>286</v>
      </c>
      <c r="C286">
        <v>-5.0766376904884801E-2</v>
      </c>
      <c r="D286">
        <v>1</v>
      </c>
      <c r="E286">
        <f t="shared" si="17"/>
        <v>1</v>
      </c>
      <c r="F286">
        <f t="shared" si="18"/>
        <v>-5.0766376904884801E-2</v>
      </c>
      <c r="G286">
        <f t="shared" si="19"/>
        <v>0</v>
      </c>
      <c r="H286">
        <f t="shared" si="20"/>
        <v>0</v>
      </c>
    </row>
    <row r="287" spans="1:8" x14ac:dyDescent="0.25">
      <c r="A287">
        <v>286</v>
      </c>
      <c r="B287" t="s">
        <v>287</v>
      </c>
      <c r="C287">
        <v>-9.9707126184358508E-3</v>
      </c>
      <c r="D287">
        <v>1</v>
      </c>
      <c r="E287">
        <f t="shared" si="17"/>
        <v>1</v>
      </c>
      <c r="F287">
        <f t="shared" si="18"/>
        <v>-9.9707126184358508E-3</v>
      </c>
      <c r="G287">
        <f t="shared" si="19"/>
        <v>0</v>
      </c>
      <c r="H287">
        <f t="shared" si="20"/>
        <v>0</v>
      </c>
    </row>
    <row r="288" spans="1:8" x14ac:dyDescent="0.25">
      <c r="A288">
        <v>287</v>
      </c>
      <c r="B288" t="s">
        <v>288</v>
      </c>
      <c r="C288">
        <v>2.1281486158177602E-2</v>
      </c>
      <c r="D288">
        <v>1</v>
      </c>
      <c r="E288">
        <f t="shared" si="17"/>
        <v>1</v>
      </c>
      <c r="F288">
        <f t="shared" si="18"/>
        <v>2.1281486158177602E-2</v>
      </c>
      <c r="G288">
        <f t="shared" si="19"/>
        <v>1</v>
      </c>
      <c r="H288">
        <f t="shared" si="20"/>
        <v>1</v>
      </c>
    </row>
    <row r="289" spans="1:8" x14ac:dyDescent="0.25">
      <c r="A289">
        <v>288</v>
      </c>
      <c r="B289" t="s">
        <v>289</v>
      </c>
      <c r="C289">
        <v>-2.2767327790877499E-2</v>
      </c>
      <c r="D289">
        <v>1</v>
      </c>
      <c r="E289">
        <f t="shared" si="17"/>
        <v>1</v>
      </c>
      <c r="F289">
        <f t="shared" si="18"/>
        <v>-2.2767327790877499E-2</v>
      </c>
      <c r="G289">
        <f t="shared" si="19"/>
        <v>0</v>
      </c>
      <c r="H289">
        <f t="shared" si="20"/>
        <v>0</v>
      </c>
    </row>
    <row r="290" spans="1:8" x14ac:dyDescent="0.25">
      <c r="A290">
        <v>289</v>
      </c>
      <c r="B290" t="s">
        <v>290</v>
      </c>
      <c r="C290">
        <v>2.6959066494668501E-2</v>
      </c>
      <c r="D290">
        <v>-1</v>
      </c>
      <c r="E290">
        <f t="shared" si="17"/>
        <v>1</v>
      </c>
      <c r="F290">
        <f t="shared" si="18"/>
        <v>-2.6959066494668501E-2</v>
      </c>
      <c r="G290">
        <f t="shared" si="19"/>
        <v>0</v>
      </c>
      <c r="H290">
        <f t="shared" si="20"/>
        <v>0</v>
      </c>
    </row>
    <row r="291" spans="1:8" x14ac:dyDescent="0.25">
      <c r="A291">
        <v>290</v>
      </c>
      <c r="B291" t="s">
        <v>291</v>
      </c>
      <c r="C291">
        <v>-6.4144866243738094E-2</v>
      </c>
      <c r="D291">
        <v>1</v>
      </c>
      <c r="E291">
        <f t="shared" si="17"/>
        <v>1</v>
      </c>
      <c r="F291">
        <f t="shared" si="18"/>
        <v>-6.4144866243738094E-2</v>
      </c>
      <c r="G291">
        <f t="shared" si="19"/>
        <v>0</v>
      </c>
      <c r="H291">
        <f t="shared" si="20"/>
        <v>0</v>
      </c>
    </row>
    <row r="292" spans="1:8" x14ac:dyDescent="0.25">
      <c r="A292">
        <v>291</v>
      </c>
      <c r="B292" t="s">
        <v>292</v>
      </c>
      <c r="C292">
        <v>-0.12880489521733601</v>
      </c>
      <c r="D292">
        <v>1</v>
      </c>
      <c r="E292">
        <f t="shared" si="17"/>
        <v>1</v>
      </c>
      <c r="F292">
        <f t="shared" si="18"/>
        <v>-0.12880489521733601</v>
      </c>
      <c r="G292">
        <f t="shared" si="19"/>
        <v>0</v>
      </c>
      <c r="H292">
        <f t="shared" si="20"/>
        <v>0</v>
      </c>
    </row>
    <row r="293" spans="1:8" x14ac:dyDescent="0.25">
      <c r="A293">
        <v>292</v>
      </c>
      <c r="B293" t="s">
        <v>293</v>
      </c>
      <c r="C293">
        <v>3.3790209773061797E-2</v>
      </c>
      <c r="D293">
        <v>1</v>
      </c>
      <c r="E293">
        <f t="shared" si="17"/>
        <v>1</v>
      </c>
      <c r="F293">
        <f t="shared" si="18"/>
        <v>3.3790209773061797E-2</v>
      </c>
      <c r="G293">
        <f t="shared" si="19"/>
        <v>1</v>
      </c>
      <c r="H293">
        <f t="shared" si="20"/>
        <v>1</v>
      </c>
    </row>
    <row r="294" spans="1:8" x14ac:dyDescent="0.25">
      <c r="A294">
        <v>293</v>
      </c>
      <c r="B294" t="s">
        <v>294</v>
      </c>
      <c r="C294">
        <v>5.3479622451853601E-2</v>
      </c>
      <c r="D294">
        <v>1</v>
      </c>
      <c r="E294">
        <f t="shared" si="17"/>
        <v>1</v>
      </c>
      <c r="F294">
        <f t="shared" si="18"/>
        <v>5.3479622451853601E-2</v>
      </c>
      <c r="G294">
        <f t="shared" si="19"/>
        <v>1</v>
      </c>
      <c r="H294">
        <f t="shared" si="20"/>
        <v>1</v>
      </c>
    </row>
    <row r="295" spans="1:8" x14ac:dyDescent="0.25">
      <c r="A295">
        <v>294</v>
      </c>
      <c r="B295" t="s">
        <v>295</v>
      </c>
      <c r="C295">
        <v>-2.00669511901648E-2</v>
      </c>
      <c r="D295">
        <v>-1</v>
      </c>
      <c r="E295">
        <f t="shared" si="17"/>
        <v>1</v>
      </c>
      <c r="F295">
        <f t="shared" si="18"/>
        <v>2.00669511901648E-2</v>
      </c>
      <c r="G295">
        <f t="shared" si="19"/>
        <v>1</v>
      </c>
      <c r="H295">
        <f t="shared" si="20"/>
        <v>1</v>
      </c>
    </row>
    <row r="296" spans="1:8" x14ac:dyDescent="0.25">
      <c r="A296">
        <v>295</v>
      </c>
      <c r="B296" t="s">
        <v>296</v>
      </c>
      <c r="C296">
        <v>4.52311400325087E-2</v>
      </c>
      <c r="D296">
        <v>1</v>
      </c>
      <c r="E296">
        <f t="shared" si="17"/>
        <v>1</v>
      </c>
      <c r="F296">
        <f t="shared" si="18"/>
        <v>4.52311400325087E-2</v>
      </c>
      <c r="G296">
        <f t="shared" si="19"/>
        <v>1</v>
      </c>
      <c r="H296">
        <f t="shared" si="20"/>
        <v>1</v>
      </c>
    </row>
    <row r="297" spans="1:8" x14ac:dyDescent="0.25">
      <c r="A297">
        <v>296</v>
      </c>
      <c r="B297" t="s">
        <v>297</v>
      </c>
      <c r="C297">
        <v>-5.7128817544881798E-2</v>
      </c>
      <c r="D297">
        <v>1</v>
      </c>
      <c r="E297">
        <f t="shared" si="17"/>
        <v>1</v>
      </c>
      <c r="F297">
        <f t="shared" si="18"/>
        <v>-5.7128817544881798E-2</v>
      </c>
      <c r="G297">
        <f t="shared" si="19"/>
        <v>0</v>
      </c>
      <c r="H297">
        <f t="shared" si="20"/>
        <v>0</v>
      </c>
    </row>
    <row r="298" spans="1:8" x14ac:dyDescent="0.25">
      <c r="A298">
        <v>297</v>
      </c>
      <c r="B298" t="s">
        <v>298</v>
      </c>
      <c r="C298">
        <v>1.23110881057855E-2</v>
      </c>
      <c r="D298">
        <v>1</v>
      </c>
      <c r="E298">
        <f t="shared" si="17"/>
        <v>1</v>
      </c>
      <c r="F298">
        <f t="shared" si="18"/>
        <v>1.23110881057855E-2</v>
      </c>
      <c r="G298">
        <f t="shared" si="19"/>
        <v>1</v>
      </c>
      <c r="H298">
        <f t="shared" si="20"/>
        <v>1</v>
      </c>
    </row>
    <row r="299" spans="1:8" x14ac:dyDescent="0.25">
      <c r="A299">
        <v>298</v>
      </c>
      <c r="B299" t="s">
        <v>299</v>
      </c>
      <c r="C299">
        <v>-0.11058494566233799</v>
      </c>
      <c r="D299">
        <v>-1</v>
      </c>
      <c r="E299">
        <f t="shared" si="17"/>
        <v>1</v>
      </c>
      <c r="F299">
        <f t="shared" si="18"/>
        <v>0.11058494566233799</v>
      </c>
      <c r="G299">
        <f t="shared" si="19"/>
        <v>1</v>
      </c>
      <c r="H299">
        <f t="shared" si="20"/>
        <v>1</v>
      </c>
    </row>
    <row r="300" spans="1:8" x14ac:dyDescent="0.25">
      <c r="A300">
        <v>299</v>
      </c>
      <c r="B300" t="s">
        <v>300</v>
      </c>
      <c r="C300">
        <v>5.9268880435468498E-2</v>
      </c>
      <c r="D300">
        <v>0</v>
      </c>
      <c r="E300">
        <f t="shared" si="17"/>
        <v>0</v>
      </c>
      <c r="F300">
        <f t="shared" si="18"/>
        <v>0</v>
      </c>
      <c r="G300">
        <f t="shared" si="19"/>
        <v>0</v>
      </c>
      <c r="H300">
        <f t="shared" si="20"/>
        <v>0</v>
      </c>
    </row>
    <row r="301" spans="1:8" x14ac:dyDescent="0.25">
      <c r="A301">
        <v>300</v>
      </c>
      <c r="B301" t="s">
        <v>301</v>
      </c>
      <c r="C301">
        <v>0.10549468878685</v>
      </c>
      <c r="D301">
        <v>1</v>
      </c>
      <c r="E301">
        <f t="shared" si="17"/>
        <v>1</v>
      </c>
      <c r="F301">
        <f t="shared" si="18"/>
        <v>0.10549468878685</v>
      </c>
      <c r="G301">
        <f t="shared" si="19"/>
        <v>1</v>
      </c>
      <c r="H301">
        <f t="shared" si="2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0744-7A30-4956-A32A-05E0DA86FCA8}">
  <dimension ref="A1:E150"/>
  <sheetViews>
    <sheetView workbookViewId="0">
      <selection activeCell="D2" sqref="D2:D20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302</v>
      </c>
      <c r="E1" t="s">
        <v>309</v>
      </c>
    </row>
    <row r="2" spans="1:5" x14ac:dyDescent="0.25">
      <c r="A2">
        <v>1</v>
      </c>
      <c r="B2" t="s">
        <v>2</v>
      </c>
      <c r="C2">
        <v>-4.1366865826661901E-2</v>
      </c>
      <c r="D2">
        <v>-1</v>
      </c>
      <c r="E2">
        <v>1</v>
      </c>
    </row>
    <row r="3" spans="1:5" x14ac:dyDescent="0.25">
      <c r="A3">
        <v>2</v>
      </c>
      <c r="B3" t="s">
        <v>3</v>
      </c>
      <c r="C3">
        <v>-3.9936223305719901E-2</v>
      </c>
      <c r="D3">
        <v>-1</v>
      </c>
      <c r="E3">
        <v>1</v>
      </c>
    </row>
    <row r="4" spans="1:5" x14ac:dyDescent="0.25">
      <c r="A4">
        <v>8</v>
      </c>
      <c r="B4" t="s">
        <v>9</v>
      </c>
      <c r="C4">
        <v>-2.0515906774507498E-3</v>
      </c>
      <c r="D4">
        <v>-1</v>
      </c>
      <c r="E4">
        <v>1</v>
      </c>
    </row>
    <row r="5" spans="1:5" x14ac:dyDescent="0.25">
      <c r="A5">
        <v>9</v>
      </c>
      <c r="B5" t="s">
        <v>10</v>
      </c>
      <c r="C5">
        <v>5.4965223801893302E-2</v>
      </c>
      <c r="D5">
        <v>-1</v>
      </c>
      <c r="E5">
        <v>1</v>
      </c>
    </row>
    <row r="6" spans="1:5" x14ac:dyDescent="0.25">
      <c r="A6">
        <v>10</v>
      </c>
      <c r="B6" t="s">
        <v>11</v>
      </c>
      <c r="C6">
        <v>9.7422081211022193E-2</v>
      </c>
      <c r="D6">
        <v>-1</v>
      </c>
      <c r="E6">
        <v>1</v>
      </c>
    </row>
    <row r="7" spans="1:5" x14ac:dyDescent="0.25">
      <c r="A7">
        <v>15</v>
      </c>
      <c r="B7" t="s">
        <v>16</v>
      </c>
      <c r="C7">
        <v>-2.31607341766716E-2</v>
      </c>
      <c r="D7">
        <v>-1</v>
      </c>
      <c r="E7">
        <v>1</v>
      </c>
    </row>
    <row r="8" spans="1:5" x14ac:dyDescent="0.25">
      <c r="A8">
        <v>18</v>
      </c>
      <c r="B8" t="s">
        <v>19</v>
      </c>
      <c r="C8">
        <v>-8.2598602969305004E-2</v>
      </c>
      <c r="D8">
        <v>-1</v>
      </c>
      <c r="E8">
        <v>1</v>
      </c>
    </row>
    <row r="9" spans="1:5" x14ac:dyDescent="0.25">
      <c r="A9">
        <v>20</v>
      </c>
      <c r="B9" t="s">
        <v>21</v>
      </c>
      <c r="C9">
        <v>4.0841650512518798E-2</v>
      </c>
      <c r="D9">
        <v>-1</v>
      </c>
      <c r="E9">
        <v>1</v>
      </c>
    </row>
    <row r="10" spans="1:5" x14ac:dyDescent="0.25">
      <c r="A10">
        <v>21</v>
      </c>
      <c r="B10" t="s">
        <v>22</v>
      </c>
      <c r="C10">
        <v>1.19327656468284E-3</v>
      </c>
      <c r="D10">
        <v>-1</v>
      </c>
      <c r="E10">
        <v>1</v>
      </c>
    </row>
    <row r="11" spans="1:5" x14ac:dyDescent="0.25">
      <c r="A11">
        <v>22</v>
      </c>
      <c r="B11" t="s">
        <v>23</v>
      </c>
      <c r="C11">
        <v>5.87256813697076E-2</v>
      </c>
      <c r="D11">
        <v>-1</v>
      </c>
      <c r="E11">
        <v>1</v>
      </c>
    </row>
    <row r="12" spans="1:5" x14ac:dyDescent="0.25">
      <c r="A12">
        <v>23</v>
      </c>
      <c r="B12" t="s">
        <v>24</v>
      </c>
      <c r="C12">
        <v>-7.7198758844820997E-2</v>
      </c>
      <c r="D12">
        <v>-1</v>
      </c>
      <c r="E12">
        <v>1</v>
      </c>
    </row>
    <row r="13" spans="1:5" x14ac:dyDescent="0.25">
      <c r="A13">
        <v>24</v>
      </c>
      <c r="B13" t="s">
        <v>25</v>
      </c>
      <c r="C13">
        <v>2.5752102596578601E-2</v>
      </c>
      <c r="D13">
        <v>-1</v>
      </c>
      <c r="E13">
        <v>1</v>
      </c>
    </row>
    <row r="14" spans="1:5" x14ac:dyDescent="0.25">
      <c r="A14">
        <v>25</v>
      </c>
      <c r="B14" t="s">
        <v>26</v>
      </c>
      <c r="C14">
        <v>-3.2396011494163698E-2</v>
      </c>
      <c r="D14">
        <v>-1</v>
      </c>
      <c r="E14">
        <v>1</v>
      </c>
    </row>
    <row r="15" spans="1:5" x14ac:dyDescent="0.25">
      <c r="A15">
        <v>26</v>
      </c>
      <c r="B15" t="s">
        <v>27</v>
      </c>
      <c r="C15">
        <v>1.7320342985111498E-2</v>
      </c>
      <c r="D15">
        <v>-1</v>
      </c>
      <c r="E15">
        <v>1</v>
      </c>
    </row>
    <row r="16" spans="1:5" x14ac:dyDescent="0.25">
      <c r="A16">
        <v>29</v>
      </c>
      <c r="B16" t="s">
        <v>30</v>
      </c>
      <c r="C16">
        <v>5.5394511382850099E-2</v>
      </c>
      <c r="D16">
        <v>-1</v>
      </c>
      <c r="E16">
        <v>1</v>
      </c>
    </row>
    <row r="17" spans="1:5" x14ac:dyDescent="0.25">
      <c r="A17">
        <v>32</v>
      </c>
      <c r="B17" t="s">
        <v>33</v>
      </c>
      <c r="C17">
        <v>-6.2372416587321698E-2</v>
      </c>
      <c r="D17">
        <v>-1</v>
      </c>
      <c r="E17">
        <v>1</v>
      </c>
    </row>
    <row r="18" spans="1:5" x14ac:dyDescent="0.25">
      <c r="A18">
        <v>38</v>
      </c>
      <c r="B18" t="s">
        <v>39</v>
      </c>
      <c r="C18">
        <v>-1.0658167885223301E-2</v>
      </c>
      <c r="D18">
        <v>-1</v>
      </c>
      <c r="E18">
        <v>1</v>
      </c>
    </row>
    <row r="19" spans="1:5" x14ac:dyDescent="0.25">
      <c r="A19">
        <v>39</v>
      </c>
      <c r="B19" t="s">
        <v>40</v>
      </c>
      <c r="C19">
        <v>4.02293435793252E-2</v>
      </c>
      <c r="D19">
        <v>-1</v>
      </c>
      <c r="E19">
        <v>1</v>
      </c>
    </row>
    <row r="20" spans="1:5" x14ac:dyDescent="0.25">
      <c r="A20">
        <v>40</v>
      </c>
      <c r="B20" t="s">
        <v>41</v>
      </c>
      <c r="C20">
        <v>-8.8988727958849503E-3</v>
      </c>
      <c r="D20">
        <v>-1</v>
      </c>
      <c r="E20">
        <v>1</v>
      </c>
    </row>
    <row r="21" spans="1:5" x14ac:dyDescent="0.25">
      <c r="A21">
        <v>41</v>
      </c>
      <c r="B21" t="s">
        <v>42</v>
      </c>
      <c r="C21">
        <v>2.42623038118275E-2</v>
      </c>
      <c r="D21">
        <v>-1</v>
      </c>
      <c r="E21">
        <v>1</v>
      </c>
    </row>
    <row r="22" spans="1:5" x14ac:dyDescent="0.25">
      <c r="A22">
        <v>42</v>
      </c>
      <c r="B22" t="s">
        <v>43</v>
      </c>
      <c r="C22">
        <v>4.5871096109195299E-2</v>
      </c>
      <c r="D22">
        <v>-1</v>
      </c>
      <c r="E22">
        <v>1</v>
      </c>
    </row>
    <row r="23" spans="1:5" x14ac:dyDescent="0.25">
      <c r="A23">
        <v>43</v>
      </c>
      <c r="B23" t="s">
        <v>44</v>
      </c>
      <c r="C23">
        <v>7.0898777927464296E-2</v>
      </c>
      <c r="D23">
        <v>-1</v>
      </c>
      <c r="E23">
        <v>1</v>
      </c>
    </row>
    <row r="24" spans="1:5" x14ac:dyDescent="0.25">
      <c r="A24">
        <v>46</v>
      </c>
      <c r="B24" t="s">
        <v>47</v>
      </c>
      <c r="C24">
        <v>-9.8892953789147003E-2</v>
      </c>
      <c r="D24">
        <v>-1</v>
      </c>
      <c r="E24">
        <v>1</v>
      </c>
    </row>
    <row r="25" spans="1:5" x14ac:dyDescent="0.25">
      <c r="A25">
        <v>47</v>
      </c>
      <c r="B25" t="s">
        <v>48</v>
      </c>
      <c r="C25">
        <v>9.3753135140061501E-4</v>
      </c>
      <c r="D25">
        <v>-1</v>
      </c>
      <c r="E25">
        <v>1</v>
      </c>
    </row>
    <row r="26" spans="1:5" x14ac:dyDescent="0.25">
      <c r="A26">
        <v>48</v>
      </c>
      <c r="B26" t="s">
        <v>49</v>
      </c>
      <c r="C26">
        <v>-3.3259056431010403E-2</v>
      </c>
      <c r="D26">
        <v>-1</v>
      </c>
      <c r="E26">
        <v>1</v>
      </c>
    </row>
    <row r="27" spans="1:5" x14ac:dyDescent="0.25">
      <c r="A27">
        <v>50</v>
      </c>
      <c r="B27" t="s">
        <v>51</v>
      </c>
      <c r="C27">
        <v>-9.8290022170953104E-3</v>
      </c>
      <c r="D27">
        <v>-1</v>
      </c>
      <c r="E27">
        <v>1</v>
      </c>
    </row>
    <row r="28" spans="1:5" x14ac:dyDescent="0.25">
      <c r="A28">
        <v>55</v>
      </c>
      <c r="B28" t="s">
        <v>56</v>
      </c>
      <c r="C28">
        <v>-4.6918088359340297E-2</v>
      </c>
      <c r="D28">
        <v>-1</v>
      </c>
      <c r="E28">
        <v>1</v>
      </c>
    </row>
    <row r="29" spans="1:5" x14ac:dyDescent="0.25">
      <c r="A29">
        <v>57</v>
      </c>
      <c r="B29" t="s">
        <v>58</v>
      </c>
      <c r="C29">
        <v>5.0839679884843196E-3</v>
      </c>
      <c r="D29">
        <v>-1</v>
      </c>
      <c r="E29">
        <v>1</v>
      </c>
    </row>
    <row r="30" spans="1:5" x14ac:dyDescent="0.25">
      <c r="A30">
        <v>62</v>
      </c>
      <c r="B30" t="s">
        <v>63</v>
      </c>
      <c r="C30">
        <v>2.7536429548290501E-2</v>
      </c>
      <c r="D30">
        <v>-1</v>
      </c>
      <c r="E30">
        <v>1</v>
      </c>
    </row>
    <row r="31" spans="1:5" x14ac:dyDescent="0.25">
      <c r="A31">
        <v>63</v>
      </c>
      <c r="B31" t="s">
        <v>64</v>
      </c>
      <c r="C31">
        <v>1.03562507151332E-2</v>
      </c>
      <c r="D31">
        <v>-1</v>
      </c>
      <c r="E31">
        <v>1</v>
      </c>
    </row>
    <row r="32" spans="1:5" x14ac:dyDescent="0.25">
      <c r="A32">
        <v>64</v>
      </c>
      <c r="B32" t="s">
        <v>65</v>
      </c>
      <c r="C32">
        <v>4.1047907909846602E-2</v>
      </c>
      <c r="D32">
        <v>-1</v>
      </c>
      <c r="E32">
        <v>1</v>
      </c>
    </row>
    <row r="33" spans="1:5" x14ac:dyDescent="0.25">
      <c r="A33">
        <v>65</v>
      </c>
      <c r="B33" t="s">
        <v>66</v>
      </c>
      <c r="C33">
        <v>3.01650600539486E-2</v>
      </c>
      <c r="D33">
        <v>-1</v>
      </c>
      <c r="E33">
        <v>1</v>
      </c>
    </row>
    <row r="34" spans="1:5" x14ac:dyDescent="0.25">
      <c r="A34">
        <v>71</v>
      </c>
      <c r="B34" t="s">
        <v>72</v>
      </c>
      <c r="C34">
        <v>0.11592835602884501</v>
      </c>
      <c r="D34">
        <v>-1</v>
      </c>
      <c r="E34">
        <v>1</v>
      </c>
    </row>
    <row r="35" spans="1:5" x14ac:dyDescent="0.25">
      <c r="A35">
        <v>72</v>
      </c>
      <c r="B35" t="s">
        <v>73</v>
      </c>
      <c r="C35">
        <v>-0.105644133540818</v>
      </c>
      <c r="D35">
        <v>-1</v>
      </c>
      <c r="E35">
        <v>1</v>
      </c>
    </row>
    <row r="36" spans="1:5" x14ac:dyDescent="0.25">
      <c r="A36">
        <v>74</v>
      </c>
      <c r="B36" t="s">
        <v>75</v>
      </c>
      <c r="C36">
        <v>3.41769855121382E-2</v>
      </c>
      <c r="D36">
        <v>-1</v>
      </c>
      <c r="E36">
        <v>1</v>
      </c>
    </row>
    <row r="37" spans="1:5" x14ac:dyDescent="0.25">
      <c r="A37">
        <v>75</v>
      </c>
      <c r="B37" t="s">
        <v>76</v>
      </c>
      <c r="C37">
        <v>1.86265411792596E-2</v>
      </c>
      <c r="D37">
        <v>-1</v>
      </c>
      <c r="E37">
        <v>1</v>
      </c>
    </row>
    <row r="38" spans="1:5" x14ac:dyDescent="0.25">
      <c r="A38">
        <v>77</v>
      </c>
      <c r="B38" t="s">
        <v>78</v>
      </c>
      <c r="C38">
        <v>-5.2686767180886197E-2</v>
      </c>
      <c r="D38">
        <v>-1</v>
      </c>
      <c r="E38">
        <v>1</v>
      </c>
    </row>
    <row r="39" spans="1:5" x14ac:dyDescent="0.25">
      <c r="A39">
        <v>78</v>
      </c>
      <c r="B39" t="s">
        <v>79</v>
      </c>
      <c r="C39">
        <v>-4.9833918870105199E-3</v>
      </c>
      <c r="D39">
        <v>-1</v>
      </c>
      <c r="E39">
        <v>1</v>
      </c>
    </row>
    <row r="40" spans="1:5" x14ac:dyDescent="0.25">
      <c r="A40">
        <v>80</v>
      </c>
      <c r="B40" t="s">
        <v>81</v>
      </c>
      <c r="C40">
        <v>-9.0902975487593504E-2</v>
      </c>
      <c r="D40">
        <v>-1</v>
      </c>
      <c r="E40">
        <v>1</v>
      </c>
    </row>
    <row r="41" spans="1:5" x14ac:dyDescent="0.25">
      <c r="A41">
        <v>83</v>
      </c>
      <c r="B41" t="s">
        <v>84</v>
      </c>
      <c r="C41">
        <v>5.0297195311679796E-3</v>
      </c>
      <c r="D41">
        <v>-1</v>
      </c>
      <c r="E41">
        <v>1</v>
      </c>
    </row>
    <row r="42" spans="1:5" x14ac:dyDescent="0.25">
      <c r="A42">
        <v>85</v>
      </c>
      <c r="B42" t="s">
        <v>86</v>
      </c>
      <c r="C42">
        <v>2.1601798296943898E-2</v>
      </c>
      <c r="D42">
        <v>-1</v>
      </c>
      <c r="E42">
        <v>1</v>
      </c>
    </row>
    <row r="43" spans="1:5" x14ac:dyDescent="0.25">
      <c r="A43">
        <v>89</v>
      </c>
      <c r="B43" t="s">
        <v>90</v>
      </c>
      <c r="C43">
        <v>-2.5041589339907501E-2</v>
      </c>
      <c r="D43">
        <v>-1</v>
      </c>
      <c r="E43">
        <v>1</v>
      </c>
    </row>
    <row r="44" spans="1:5" x14ac:dyDescent="0.25">
      <c r="A44">
        <v>94</v>
      </c>
      <c r="B44" t="s">
        <v>95</v>
      </c>
      <c r="C44">
        <v>-4.7752941341619601E-2</v>
      </c>
      <c r="D44">
        <v>-1</v>
      </c>
      <c r="E44">
        <v>1</v>
      </c>
    </row>
    <row r="45" spans="1:5" x14ac:dyDescent="0.25">
      <c r="A45">
        <v>96</v>
      </c>
      <c r="B45" t="s">
        <v>97</v>
      </c>
      <c r="C45">
        <v>6.9192434578755499E-2</v>
      </c>
      <c r="D45">
        <v>-1</v>
      </c>
      <c r="E45">
        <v>1</v>
      </c>
    </row>
    <row r="46" spans="1:5" x14ac:dyDescent="0.25">
      <c r="A46">
        <v>99</v>
      </c>
      <c r="B46" t="s">
        <v>100</v>
      </c>
      <c r="C46">
        <v>-6.53911475319435E-2</v>
      </c>
      <c r="D46">
        <v>-1</v>
      </c>
      <c r="E46">
        <v>1</v>
      </c>
    </row>
    <row r="47" spans="1:5" x14ac:dyDescent="0.25">
      <c r="A47">
        <v>100</v>
      </c>
      <c r="B47" t="s">
        <v>101</v>
      </c>
      <c r="C47">
        <v>-2.7991329156766699E-2</v>
      </c>
      <c r="D47">
        <v>-1</v>
      </c>
      <c r="E47">
        <v>1</v>
      </c>
    </row>
    <row r="48" spans="1:5" x14ac:dyDescent="0.25">
      <c r="A48">
        <v>101</v>
      </c>
      <c r="B48" t="s">
        <v>102</v>
      </c>
      <c r="C48">
        <v>-1.0781866593816899E-2</v>
      </c>
      <c r="D48">
        <v>-1</v>
      </c>
      <c r="E48">
        <v>1</v>
      </c>
    </row>
    <row r="49" spans="1:5" x14ac:dyDescent="0.25">
      <c r="A49">
        <v>103</v>
      </c>
      <c r="B49" t="s">
        <v>104</v>
      </c>
      <c r="C49">
        <v>-3.4204332030069201E-2</v>
      </c>
      <c r="D49">
        <v>-1</v>
      </c>
      <c r="E49">
        <v>1</v>
      </c>
    </row>
    <row r="50" spans="1:5" x14ac:dyDescent="0.25">
      <c r="A50">
        <v>104</v>
      </c>
      <c r="B50" t="s">
        <v>105</v>
      </c>
      <c r="C50">
        <v>-4.9175036403930504E-3</v>
      </c>
      <c r="D50">
        <v>-1</v>
      </c>
      <c r="E50">
        <v>1</v>
      </c>
    </row>
    <row r="51" spans="1:5" x14ac:dyDescent="0.25">
      <c r="A51">
        <v>105</v>
      </c>
      <c r="B51" t="s">
        <v>106</v>
      </c>
      <c r="C51">
        <v>2.4018612764046401E-2</v>
      </c>
      <c r="D51">
        <v>-1</v>
      </c>
      <c r="E51">
        <v>1</v>
      </c>
    </row>
    <row r="52" spans="1:5" x14ac:dyDescent="0.25">
      <c r="A52">
        <v>107</v>
      </c>
      <c r="B52" t="s">
        <v>108</v>
      </c>
      <c r="C52">
        <v>-2.5336756655134199E-2</v>
      </c>
      <c r="D52">
        <v>-1</v>
      </c>
      <c r="E52">
        <v>1</v>
      </c>
    </row>
    <row r="53" spans="1:5" x14ac:dyDescent="0.25">
      <c r="A53">
        <v>108</v>
      </c>
      <c r="B53" t="s">
        <v>109</v>
      </c>
      <c r="C53">
        <v>2.11409025613928E-2</v>
      </c>
      <c r="D53">
        <v>-1</v>
      </c>
      <c r="E53">
        <v>1</v>
      </c>
    </row>
    <row r="54" spans="1:5" x14ac:dyDescent="0.25">
      <c r="A54">
        <v>109</v>
      </c>
      <c r="B54" t="s">
        <v>110</v>
      </c>
      <c r="C54">
        <v>-3.0742723201757201E-2</v>
      </c>
      <c r="D54">
        <v>-1</v>
      </c>
      <c r="E54">
        <v>1</v>
      </c>
    </row>
    <row r="55" spans="1:5" x14ac:dyDescent="0.25">
      <c r="A55">
        <v>111</v>
      </c>
      <c r="B55" t="s">
        <v>112</v>
      </c>
      <c r="C55">
        <v>1.88579588771377E-2</v>
      </c>
      <c r="D55">
        <v>-1</v>
      </c>
      <c r="E55">
        <v>1</v>
      </c>
    </row>
    <row r="56" spans="1:5" x14ac:dyDescent="0.25">
      <c r="A56">
        <v>113</v>
      </c>
      <c r="B56" t="s">
        <v>114</v>
      </c>
      <c r="C56">
        <v>1.64840568906774E-2</v>
      </c>
      <c r="D56">
        <v>-1</v>
      </c>
      <c r="E56">
        <v>1</v>
      </c>
    </row>
    <row r="57" spans="1:5" x14ac:dyDescent="0.25">
      <c r="A57">
        <v>114</v>
      </c>
      <c r="B57" t="s">
        <v>115</v>
      </c>
      <c r="C57">
        <v>-6.6910527041143999E-3</v>
      </c>
      <c r="D57">
        <v>-1</v>
      </c>
      <c r="E57">
        <v>1</v>
      </c>
    </row>
    <row r="58" spans="1:5" x14ac:dyDescent="0.25">
      <c r="A58">
        <v>118</v>
      </c>
      <c r="B58" t="s">
        <v>119</v>
      </c>
      <c r="C58">
        <v>1.51071747349456E-2</v>
      </c>
      <c r="D58">
        <v>-1</v>
      </c>
      <c r="E58">
        <v>1</v>
      </c>
    </row>
    <row r="59" spans="1:5" x14ac:dyDescent="0.25">
      <c r="A59">
        <v>119</v>
      </c>
      <c r="B59" t="s">
        <v>120</v>
      </c>
      <c r="C59">
        <v>1.8272898583071701E-2</v>
      </c>
      <c r="D59">
        <v>-1</v>
      </c>
      <c r="E59">
        <v>1</v>
      </c>
    </row>
    <row r="60" spans="1:5" x14ac:dyDescent="0.25">
      <c r="A60">
        <v>120</v>
      </c>
      <c r="B60" t="s">
        <v>121</v>
      </c>
      <c r="C60">
        <v>-3.8005205471711698E-2</v>
      </c>
      <c r="D60">
        <v>-1</v>
      </c>
      <c r="E60">
        <v>1</v>
      </c>
    </row>
    <row r="61" spans="1:5" x14ac:dyDescent="0.25">
      <c r="A61">
        <v>122</v>
      </c>
      <c r="B61" t="s">
        <v>123</v>
      </c>
      <c r="C61">
        <v>4.84647483959321E-3</v>
      </c>
      <c r="D61">
        <v>-1</v>
      </c>
      <c r="E61">
        <v>1</v>
      </c>
    </row>
    <row r="62" spans="1:5" x14ac:dyDescent="0.25">
      <c r="A62">
        <v>123</v>
      </c>
      <c r="B62" t="s">
        <v>124</v>
      </c>
      <c r="C62">
        <v>1.4102184859376E-3</v>
      </c>
      <c r="D62">
        <v>-1</v>
      </c>
      <c r="E62">
        <v>1</v>
      </c>
    </row>
    <row r="63" spans="1:5" x14ac:dyDescent="0.25">
      <c r="A63">
        <v>124</v>
      </c>
      <c r="B63" t="s">
        <v>125</v>
      </c>
      <c r="C63">
        <v>6.10524170514435E-2</v>
      </c>
      <c r="D63">
        <v>-1</v>
      </c>
      <c r="E63">
        <v>1</v>
      </c>
    </row>
    <row r="64" spans="1:5" x14ac:dyDescent="0.25">
      <c r="A64">
        <v>126</v>
      </c>
      <c r="B64" t="s">
        <v>127</v>
      </c>
      <c r="C64">
        <v>-2.90364302131902E-2</v>
      </c>
      <c r="D64">
        <v>-1</v>
      </c>
      <c r="E64">
        <v>1</v>
      </c>
    </row>
    <row r="65" spans="1:5" x14ac:dyDescent="0.25">
      <c r="A65">
        <v>129</v>
      </c>
      <c r="B65" t="s">
        <v>130</v>
      </c>
      <c r="C65">
        <v>7.2059854729114095E-2</v>
      </c>
      <c r="D65">
        <v>-1</v>
      </c>
      <c r="E65">
        <v>1</v>
      </c>
    </row>
    <row r="66" spans="1:5" x14ac:dyDescent="0.25">
      <c r="A66">
        <v>130</v>
      </c>
      <c r="B66" t="s">
        <v>131</v>
      </c>
      <c r="C66">
        <v>-7.2638413106962105E-2</v>
      </c>
      <c r="D66">
        <v>-1</v>
      </c>
      <c r="E66">
        <v>1</v>
      </c>
    </row>
    <row r="67" spans="1:5" x14ac:dyDescent="0.25">
      <c r="A67">
        <v>134</v>
      </c>
      <c r="B67" t="s">
        <v>135</v>
      </c>
      <c r="C67">
        <v>-5.4506781298938101E-2</v>
      </c>
      <c r="D67">
        <v>-1</v>
      </c>
      <c r="E67">
        <v>1</v>
      </c>
    </row>
    <row r="68" spans="1:5" x14ac:dyDescent="0.25">
      <c r="A68">
        <v>135</v>
      </c>
      <c r="B68" t="s">
        <v>136</v>
      </c>
      <c r="C68">
        <v>-1.9569508484136602E-2</v>
      </c>
      <c r="D68">
        <v>-1</v>
      </c>
      <c r="E68">
        <v>1</v>
      </c>
    </row>
    <row r="69" spans="1:5" x14ac:dyDescent="0.25">
      <c r="A69">
        <v>137</v>
      </c>
      <c r="B69" t="s">
        <v>138</v>
      </c>
      <c r="C69">
        <v>2.10287655529659E-2</v>
      </c>
      <c r="D69">
        <v>-1</v>
      </c>
      <c r="E69">
        <v>1</v>
      </c>
    </row>
    <row r="70" spans="1:5" x14ac:dyDescent="0.25">
      <c r="A70">
        <v>140</v>
      </c>
      <c r="B70" t="s">
        <v>141</v>
      </c>
      <c r="C70">
        <v>4.7345741505289203E-2</v>
      </c>
      <c r="D70">
        <v>-1</v>
      </c>
      <c r="E70">
        <v>1</v>
      </c>
    </row>
    <row r="71" spans="1:5" x14ac:dyDescent="0.25">
      <c r="A71">
        <v>142</v>
      </c>
      <c r="B71" t="s">
        <v>143</v>
      </c>
      <c r="C71">
        <v>2.0116488555107E-2</v>
      </c>
      <c r="D71">
        <v>-1</v>
      </c>
      <c r="E71">
        <v>1</v>
      </c>
    </row>
    <row r="72" spans="1:5" x14ac:dyDescent="0.25">
      <c r="A72">
        <v>143</v>
      </c>
      <c r="B72" t="s">
        <v>144</v>
      </c>
      <c r="C72">
        <v>1.7273690315675501E-2</v>
      </c>
      <c r="D72">
        <v>-1</v>
      </c>
      <c r="E72">
        <v>1</v>
      </c>
    </row>
    <row r="73" spans="1:5" x14ac:dyDescent="0.25">
      <c r="A73">
        <v>144</v>
      </c>
      <c r="B73" t="s">
        <v>145</v>
      </c>
      <c r="C73">
        <v>-2.51411679428892E-2</v>
      </c>
      <c r="D73">
        <v>-1</v>
      </c>
      <c r="E73">
        <v>1</v>
      </c>
    </row>
    <row r="74" spans="1:5" x14ac:dyDescent="0.25">
      <c r="A74">
        <v>145</v>
      </c>
      <c r="B74" t="s">
        <v>146</v>
      </c>
      <c r="C74">
        <v>-4.8271059578735502E-2</v>
      </c>
      <c r="D74">
        <v>-1</v>
      </c>
      <c r="E74">
        <v>1</v>
      </c>
    </row>
    <row r="75" spans="1:5" x14ac:dyDescent="0.25">
      <c r="A75">
        <v>146</v>
      </c>
      <c r="B75" t="s">
        <v>147</v>
      </c>
      <c r="C75">
        <v>2.9569858403994801E-3</v>
      </c>
      <c r="D75">
        <v>-1</v>
      </c>
      <c r="E75">
        <v>1</v>
      </c>
    </row>
    <row r="76" spans="1:5" x14ac:dyDescent="0.25">
      <c r="A76">
        <v>147</v>
      </c>
      <c r="B76" t="s">
        <v>148</v>
      </c>
      <c r="C76">
        <v>7.3233791857636897E-3</v>
      </c>
      <c r="D76">
        <v>-1</v>
      </c>
      <c r="E76">
        <v>1</v>
      </c>
    </row>
    <row r="77" spans="1:5" x14ac:dyDescent="0.25">
      <c r="A77">
        <v>150</v>
      </c>
      <c r="B77" t="s">
        <v>151</v>
      </c>
      <c r="C77">
        <v>-9.4689268163303003E-2</v>
      </c>
      <c r="D77">
        <v>-1</v>
      </c>
      <c r="E77">
        <v>1</v>
      </c>
    </row>
    <row r="78" spans="1:5" x14ac:dyDescent="0.25">
      <c r="A78">
        <v>154</v>
      </c>
      <c r="B78" t="s">
        <v>155</v>
      </c>
      <c r="C78">
        <v>2.5675154272782899E-2</v>
      </c>
      <c r="D78">
        <v>-1</v>
      </c>
      <c r="E78">
        <v>1</v>
      </c>
    </row>
    <row r="79" spans="1:5" x14ac:dyDescent="0.25">
      <c r="A79">
        <v>155</v>
      </c>
      <c r="B79" t="s">
        <v>156</v>
      </c>
      <c r="C79">
        <v>4.4664219815743603E-2</v>
      </c>
      <c r="D79">
        <v>-1</v>
      </c>
      <c r="E79">
        <v>1</v>
      </c>
    </row>
    <row r="80" spans="1:5" x14ac:dyDescent="0.25">
      <c r="A80">
        <v>156</v>
      </c>
      <c r="B80" t="s">
        <v>157</v>
      </c>
      <c r="C80">
        <v>-0.13585009327498701</v>
      </c>
      <c r="D80">
        <v>-1</v>
      </c>
      <c r="E80">
        <v>1</v>
      </c>
    </row>
    <row r="81" spans="1:5" x14ac:dyDescent="0.25">
      <c r="A81">
        <v>158</v>
      </c>
      <c r="B81" t="s">
        <v>159</v>
      </c>
      <c r="C81">
        <v>-2.79737673891545E-2</v>
      </c>
      <c r="D81">
        <v>-1</v>
      </c>
      <c r="E81">
        <v>1</v>
      </c>
    </row>
    <row r="82" spans="1:5" x14ac:dyDescent="0.25">
      <c r="A82">
        <v>160</v>
      </c>
      <c r="B82" t="s">
        <v>161</v>
      </c>
      <c r="C82">
        <v>-1.8503698621848998E-2</v>
      </c>
      <c r="D82">
        <v>-1</v>
      </c>
      <c r="E82">
        <v>1</v>
      </c>
    </row>
    <row r="83" spans="1:5" x14ac:dyDescent="0.25">
      <c r="A83">
        <v>162</v>
      </c>
      <c r="B83" t="s">
        <v>163</v>
      </c>
      <c r="C83">
        <v>-2.7915392514441199E-2</v>
      </c>
      <c r="D83">
        <v>-1</v>
      </c>
      <c r="E83">
        <v>1</v>
      </c>
    </row>
    <row r="84" spans="1:5" x14ac:dyDescent="0.25">
      <c r="A84">
        <v>163</v>
      </c>
      <c r="B84" t="s">
        <v>164</v>
      </c>
      <c r="C84">
        <v>1.33236358468313E-2</v>
      </c>
      <c r="D84">
        <v>-1</v>
      </c>
      <c r="E84">
        <v>1</v>
      </c>
    </row>
    <row r="85" spans="1:5" x14ac:dyDescent="0.25">
      <c r="A85">
        <v>165</v>
      </c>
      <c r="B85" t="s">
        <v>166</v>
      </c>
      <c r="C85">
        <v>-5.8807936336679599E-2</v>
      </c>
      <c r="D85">
        <v>-1</v>
      </c>
      <c r="E85">
        <v>1</v>
      </c>
    </row>
    <row r="86" spans="1:5" x14ac:dyDescent="0.25">
      <c r="A86">
        <v>168</v>
      </c>
      <c r="B86" t="s">
        <v>169</v>
      </c>
      <c r="C86">
        <v>8.1375305700735201E-2</v>
      </c>
      <c r="D86">
        <v>-1</v>
      </c>
      <c r="E86">
        <v>1</v>
      </c>
    </row>
    <row r="87" spans="1:5" x14ac:dyDescent="0.25">
      <c r="A87">
        <v>171</v>
      </c>
      <c r="B87" t="s">
        <v>172</v>
      </c>
      <c r="C87">
        <v>9.6617147624537006E-2</v>
      </c>
      <c r="D87">
        <v>-1</v>
      </c>
      <c r="E87">
        <v>1</v>
      </c>
    </row>
    <row r="88" spans="1:5" x14ac:dyDescent="0.25">
      <c r="A88">
        <v>175</v>
      </c>
      <c r="B88" t="s">
        <v>176</v>
      </c>
      <c r="C88">
        <v>-1.8115422961997401E-2</v>
      </c>
      <c r="D88">
        <v>-1</v>
      </c>
      <c r="E88">
        <v>1</v>
      </c>
    </row>
    <row r="89" spans="1:5" x14ac:dyDescent="0.25">
      <c r="A89">
        <v>176</v>
      </c>
      <c r="B89" t="s">
        <v>177</v>
      </c>
      <c r="C89">
        <v>-3.3759374452806499E-3</v>
      </c>
      <c r="D89">
        <v>-1</v>
      </c>
      <c r="E89">
        <v>1</v>
      </c>
    </row>
    <row r="90" spans="1:5" x14ac:dyDescent="0.25">
      <c r="A90">
        <v>180</v>
      </c>
      <c r="B90" t="s">
        <v>181</v>
      </c>
      <c r="C90">
        <v>-1.5967856571887599E-2</v>
      </c>
      <c r="D90">
        <v>-1</v>
      </c>
      <c r="E90">
        <v>1</v>
      </c>
    </row>
    <row r="91" spans="1:5" x14ac:dyDescent="0.25">
      <c r="A91">
        <v>181</v>
      </c>
      <c r="B91" t="s">
        <v>182</v>
      </c>
      <c r="C91">
        <v>-9.6107259134602802E-3</v>
      </c>
      <c r="D91">
        <v>-1</v>
      </c>
      <c r="E91">
        <v>1</v>
      </c>
    </row>
    <row r="92" spans="1:5" x14ac:dyDescent="0.25">
      <c r="A92">
        <v>183</v>
      </c>
      <c r="B92" t="s">
        <v>184</v>
      </c>
      <c r="C92">
        <v>6.2914230922313796E-2</v>
      </c>
      <c r="D92">
        <v>-1</v>
      </c>
      <c r="E92">
        <v>1</v>
      </c>
    </row>
    <row r="93" spans="1:5" x14ac:dyDescent="0.25">
      <c r="A93">
        <v>184</v>
      </c>
      <c r="B93" t="s">
        <v>185</v>
      </c>
      <c r="C93">
        <v>-2.58920975199484E-3</v>
      </c>
      <c r="D93">
        <v>-1</v>
      </c>
      <c r="E93">
        <v>1</v>
      </c>
    </row>
    <row r="94" spans="1:5" x14ac:dyDescent="0.25">
      <c r="A94">
        <v>185</v>
      </c>
      <c r="B94" t="s">
        <v>186</v>
      </c>
      <c r="C94">
        <v>3.32793203121447E-2</v>
      </c>
      <c r="D94">
        <v>-1</v>
      </c>
      <c r="E94">
        <v>1</v>
      </c>
    </row>
    <row r="95" spans="1:5" x14ac:dyDescent="0.25">
      <c r="A95">
        <v>186</v>
      </c>
      <c r="B95" t="s">
        <v>187</v>
      </c>
      <c r="C95">
        <v>3.6971242545691202E-2</v>
      </c>
      <c r="D95">
        <v>-1</v>
      </c>
      <c r="E95">
        <v>1</v>
      </c>
    </row>
    <row r="96" spans="1:5" x14ac:dyDescent="0.25">
      <c r="A96">
        <v>190</v>
      </c>
      <c r="B96" t="s">
        <v>191</v>
      </c>
      <c r="C96">
        <v>-2.4040757136423299E-2</v>
      </c>
      <c r="D96">
        <v>-1</v>
      </c>
      <c r="E96">
        <v>1</v>
      </c>
    </row>
    <row r="97" spans="1:5" x14ac:dyDescent="0.25">
      <c r="A97">
        <v>192</v>
      </c>
      <c r="B97" t="s">
        <v>193</v>
      </c>
      <c r="C97">
        <v>6.6955654270800205E-2</v>
      </c>
      <c r="D97">
        <v>-1</v>
      </c>
      <c r="E97">
        <v>1</v>
      </c>
    </row>
    <row r="98" spans="1:5" x14ac:dyDescent="0.25">
      <c r="A98">
        <v>194</v>
      </c>
      <c r="B98" t="s">
        <v>195</v>
      </c>
      <c r="C98">
        <v>-6.3453227200337303E-2</v>
      </c>
      <c r="D98">
        <v>-1</v>
      </c>
      <c r="E98">
        <v>1</v>
      </c>
    </row>
    <row r="99" spans="1:5" x14ac:dyDescent="0.25">
      <c r="A99">
        <v>195</v>
      </c>
      <c r="B99" t="s">
        <v>196</v>
      </c>
      <c r="C99">
        <v>-5.6761565354152901E-2</v>
      </c>
      <c r="D99">
        <v>-1</v>
      </c>
      <c r="E99">
        <v>1</v>
      </c>
    </row>
    <row r="100" spans="1:5" x14ac:dyDescent="0.25">
      <c r="A100">
        <v>198</v>
      </c>
      <c r="B100" t="s">
        <v>199</v>
      </c>
      <c r="C100">
        <v>-4.27067022032614E-3</v>
      </c>
      <c r="D100">
        <v>-1</v>
      </c>
      <c r="E100">
        <v>1</v>
      </c>
    </row>
    <row r="101" spans="1:5" x14ac:dyDescent="0.25">
      <c r="A101">
        <v>199</v>
      </c>
      <c r="B101" t="s">
        <v>200</v>
      </c>
      <c r="C101">
        <v>1.2094075200948899E-2</v>
      </c>
      <c r="D101">
        <v>-1</v>
      </c>
      <c r="E101">
        <v>1</v>
      </c>
    </row>
    <row r="102" spans="1:5" x14ac:dyDescent="0.25">
      <c r="A102">
        <v>200</v>
      </c>
      <c r="B102" t="s">
        <v>201</v>
      </c>
      <c r="C102">
        <v>1.5753084864954799E-2</v>
      </c>
      <c r="D102">
        <v>-1</v>
      </c>
      <c r="E102">
        <v>1</v>
      </c>
    </row>
    <row r="103" spans="1:5" x14ac:dyDescent="0.25">
      <c r="A103">
        <v>203</v>
      </c>
      <c r="B103" t="s">
        <v>204</v>
      </c>
      <c r="C103">
        <v>4.8687802236781701E-2</v>
      </c>
      <c r="D103">
        <v>-1</v>
      </c>
      <c r="E103">
        <v>1</v>
      </c>
    </row>
    <row r="104" spans="1:5" x14ac:dyDescent="0.25">
      <c r="A104">
        <v>205</v>
      </c>
      <c r="B104" t="s">
        <v>206</v>
      </c>
      <c r="C104">
        <v>-7.9601726345623694E-2</v>
      </c>
      <c r="D104">
        <v>-1</v>
      </c>
      <c r="E104">
        <v>1</v>
      </c>
    </row>
    <row r="105" spans="1:5" x14ac:dyDescent="0.25">
      <c r="A105">
        <v>206</v>
      </c>
      <c r="B105" t="s">
        <v>207</v>
      </c>
      <c r="C105">
        <v>-9.5198414886201194E-3</v>
      </c>
      <c r="D105">
        <v>-1</v>
      </c>
      <c r="E105">
        <v>1</v>
      </c>
    </row>
    <row r="106" spans="1:5" x14ac:dyDescent="0.25">
      <c r="A106">
        <v>207</v>
      </c>
      <c r="B106" t="s">
        <v>208</v>
      </c>
      <c r="C106">
        <v>-5.26834195163274E-2</v>
      </c>
      <c r="D106">
        <v>-1</v>
      </c>
      <c r="E106">
        <v>1</v>
      </c>
    </row>
    <row r="107" spans="1:5" x14ac:dyDescent="0.25">
      <c r="A107">
        <v>208</v>
      </c>
      <c r="B107" t="s">
        <v>209</v>
      </c>
      <c r="C107">
        <v>-0.109483726201693</v>
      </c>
      <c r="D107">
        <v>-1</v>
      </c>
      <c r="E107">
        <v>1</v>
      </c>
    </row>
    <row r="108" spans="1:5" x14ac:dyDescent="0.25">
      <c r="A108">
        <v>210</v>
      </c>
      <c r="B108" t="s">
        <v>211</v>
      </c>
      <c r="C108">
        <v>-4.5008667137838203E-3</v>
      </c>
      <c r="D108">
        <v>-1</v>
      </c>
      <c r="E108">
        <v>1</v>
      </c>
    </row>
    <row r="109" spans="1:5" x14ac:dyDescent="0.25">
      <c r="A109">
        <v>214</v>
      </c>
      <c r="B109" t="s">
        <v>215</v>
      </c>
      <c r="C109">
        <v>5.1192369147215304E-3</v>
      </c>
      <c r="D109">
        <v>-1</v>
      </c>
      <c r="E109">
        <v>1</v>
      </c>
    </row>
    <row r="110" spans="1:5" x14ac:dyDescent="0.25">
      <c r="A110">
        <v>215</v>
      </c>
      <c r="B110" t="s">
        <v>216</v>
      </c>
      <c r="C110">
        <v>-4.0746863647596797E-2</v>
      </c>
      <c r="D110">
        <v>-1</v>
      </c>
      <c r="E110">
        <v>1</v>
      </c>
    </row>
    <row r="111" spans="1:5" x14ac:dyDescent="0.25">
      <c r="A111">
        <v>217</v>
      </c>
      <c r="B111" t="s">
        <v>218</v>
      </c>
      <c r="C111">
        <v>-1.1001771821111899E-2</v>
      </c>
      <c r="D111">
        <v>-1</v>
      </c>
      <c r="E111">
        <v>1</v>
      </c>
    </row>
    <row r="112" spans="1:5" x14ac:dyDescent="0.25">
      <c r="A112">
        <v>218</v>
      </c>
      <c r="B112" t="s">
        <v>219</v>
      </c>
      <c r="C112">
        <v>8.2701896295488495E-3</v>
      </c>
      <c r="D112">
        <v>-1</v>
      </c>
      <c r="E112">
        <v>1</v>
      </c>
    </row>
    <row r="113" spans="1:5" x14ac:dyDescent="0.25">
      <c r="A113">
        <v>219</v>
      </c>
      <c r="B113" t="s">
        <v>220</v>
      </c>
      <c r="C113">
        <v>-6.4346748823934999E-2</v>
      </c>
      <c r="D113">
        <v>-1</v>
      </c>
      <c r="E113">
        <v>1</v>
      </c>
    </row>
    <row r="114" spans="1:5" x14ac:dyDescent="0.25">
      <c r="A114">
        <v>220</v>
      </c>
      <c r="B114" t="s">
        <v>221</v>
      </c>
      <c r="C114">
        <v>-2.2062600665297201E-2</v>
      </c>
      <c r="D114">
        <v>-1</v>
      </c>
      <c r="E114">
        <v>1</v>
      </c>
    </row>
    <row r="115" spans="1:5" x14ac:dyDescent="0.25">
      <c r="A115">
        <v>221</v>
      </c>
      <c r="B115" t="s">
        <v>222</v>
      </c>
      <c r="C115">
        <v>4.26236282154158E-2</v>
      </c>
      <c r="D115">
        <v>-1</v>
      </c>
      <c r="E115">
        <v>1</v>
      </c>
    </row>
    <row r="116" spans="1:5" x14ac:dyDescent="0.25">
      <c r="A116">
        <v>225</v>
      </c>
      <c r="B116" t="s">
        <v>226</v>
      </c>
      <c r="C116">
        <v>5.2095854297146499E-2</v>
      </c>
      <c r="D116">
        <v>-1</v>
      </c>
      <c r="E116">
        <v>1</v>
      </c>
    </row>
    <row r="117" spans="1:5" x14ac:dyDescent="0.25">
      <c r="A117">
        <v>227</v>
      </c>
      <c r="B117" t="s">
        <v>228</v>
      </c>
      <c r="C117">
        <v>5.4787825367279601E-2</v>
      </c>
      <c r="D117">
        <v>-1</v>
      </c>
      <c r="E117">
        <v>1</v>
      </c>
    </row>
    <row r="118" spans="1:5" x14ac:dyDescent="0.25">
      <c r="A118">
        <v>228</v>
      </c>
      <c r="B118" t="s">
        <v>229</v>
      </c>
      <c r="C118">
        <v>-2.1728875765154699E-4</v>
      </c>
      <c r="D118">
        <v>-1</v>
      </c>
      <c r="E118">
        <v>1</v>
      </c>
    </row>
    <row r="119" spans="1:5" x14ac:dyDescent="0.25">
      <c r="A119">
        <v>230</v>
      </c>
      <c r="B119" t="s">
        <v>231</v>
      </c>
      <c r="C119">
        <v>-3.8078771403442097E-2</v>
      </c>
      <c r="D119">
        <v>-1</v>
      </c>
      <c r="E119">
        <v>1</v>
      </c>
    </row>
    <row r="120" spans="1:5" x14ac:dyDescent="0.25">
      <c r="A120">
        <v>232</v>
      </c>
      <c r="B120" t="s">
        <v>233</v>
      </c>
      <c r="C120">
        <v>-2.6219873049120501E-2</v>
      </c>
      <c r="D120">
        <v>-1</v>
      </c>
      <c r="E120">
        <v>1</v>
      </c>
    </row>
    <row r="121" spans="1:5" x14ac:dyDescent="0.25">
      <c r="A121">
        <v>234</v>
      </c>
      <c r="B121" t="s">
        <v>235</v>
      </c>
      <c r="C121">
        <v>-9.8562876318944491E-4</v>
      </c>
      <c r="D121">
        <v>-1</v>
      </c>
      <c r="E121">
        <v>1</v>
      </c>
    </row>
    <row r="122" spans="1:5" x14ac:dyDescent="0.25">
      <c r="A122">
        <v>235</v>
      </c>
      <c r="B122" t="s">
        <v>236</v>
      </c>
      <c r="C122">
        <v>9.1548673988939094E-2</v>
      </c>
      <c r="D122">
        <v>-1</v>
      </c>
      <c r="E122">
        <v>1</v>
      </c>
    </row>
    <row r="123" spans="1:5" x14ac:dyDescent="0.25">
      <c r="A123">
        <v>236</v>
      </c>
      <c r="B123" t="s">
        <v>237</v>
      </c>
      <c r="C123">
        <v>2.6875555655600701E-2</v>
      </c>
      <c r="D123">
        <v>-1</v>
      </c>
      <c r="E123">
        <v>1</v>
      </c>
    </row>
    <row r="124" spans="1:5" x14ac:dyDescent="0.25">
      <c r="A124">
        <v>237</v>
      </c>
      <c r="B124" t="s">
        <v>238</v>
      </c>
      <c r="C124">
        <v>5.6433415613585697E-2</v>
      </c>
      <c r="D124">
        <v>-1</v>
      </c>
      <c r="E124">
        <v>1</v>
      </c>
    </row>
    <row r="125" spans="1:5" x14ac:dyDescent="0.25">
      <c r="A125">
        <v>240</v>
      </c>
      <c r="B125" t="s">
        <v>241</v>
      </c>
      <c r="C125">
        <v>-1.7927407626061698E-2</v>
      </c>
      <c r="D125">
        <v>-1</v>
      </c>
      <c r="E125">
        <v>1</v>
      </c>
    </row>
    <row r="126" spans="1:5" x14ac:dyDescent="0.25">
      <c r="A126">
        <v>241</v>
      </c>
      <c r="B126" t="s">
        <v>242</v>
      </c>
      <c r="C126">
        <v>-2.1548625049136301E-2</v>
      </c>
      <c r="D126">
        <v>-1</v>
      </c>
      <c r="E126">
        <v>1</v>
      </c>
    </row>
    <row r="127" spans="1:5" x14ac:dyDescent="0.25">
      <c r="A127">
        <v>242</v>
      </c>
      <c r="B127" t="s">
        <v>243</v>
      </c>
      <c r="C127">
        <v>-2.8456976172533E-2</v>
      </c>
      <c r="D127">
        <v>-1</v>
      </c>
      <c r="E127">
        <v>1</v>
      </c>
    </row>
    <row r="128" spans="1:5" x14ac:dyDescent="0.25">
      <c r="A128">
        <v>244</v>
      </c>
      <c r="B128" t="s">
        <v>245</v>
      </c>
      <c r="C128">
        <v>-7.1241211324928E-2</v>
      </c>
      <c r="D128">
        <v>-1</v>
      </c>
      <c r="E128">
        <v>1</v>
      </c>
    </row>
    <row r="129" spans="1:5" x14ac:dyDescent="0.25">
      <c r="A129">
        <v>245</v>
      </c>
      <c r="B129" t="s">
        <v>246</v>
      </c>
      <c r="C129">
        <v>4.1527790661836698E-2</v>
      </c>
      <c r="D129">
        <v>-1</v>
      </c>
      <c r="E129">
        <v>1</v>
      </c>
    </row>
    <row r="130" spans="1:5" x14ac:dyDescent="0.25">
      <c r="A130">
        <v>247</v>
      </c>
      <c r="B130" t="s">
        <v>248</v>
      </c>
      <c r="C130">
        <v>-6.0940866806725502E-2</v>
      </c>
      <c r="D130">
        <v>-1</v>
      </c>
      <c r="E130">
        <v>1</v>
      </c>
    </row>
    <row r="131" spans="1:5" x14ac:dyDescent="0.25">
      <c r="A131">
        <v>248</v>
      </c>
      <c r="B131" t="s">
        <v>249</v>
      </c>
      <c r="C131">
        <v>1.83761928568127E-2</v>
      </c>
      <c r="D131">
        <v>-1</v>
      </c>
      <c r="E131">
        <v>1</v>
      </c>
    </row>
    <row r="132" spans="1:5" x14ac:dyDescent="0.25">
      <c r="A132">
        <v>249</v>
      </c>
      <c r="B132" t="s">
        <v>250</v>
      </c>
      <c r="C132">
        <v>0.11486363826448499</v>
      </c>
      <c r="D132">
        <v>-1</v>
      </c>
      <c r="E132">
        <v>1</v>
      </c>
    </row>
    <row r="133" spans="1:5" x14ac:dyDescent="0.25">
      <c r="A133">
        <v>251</v>
      </c>
      <c r="B133" t="s">
        <v>252</v>
      </c>
      <c r="C133">
        <v>3.8489183353705901E-2</v>
      </c>
      <c r="D133">
        <v>-1</v>
      </c>
      <c r="E133">
        <v>1</v>
      </c>
    </row>
    <row r="134" spans="1:5" x14ac:dyDescent="0.25">
      <c r="A134">
        <v>252</v>
      </c>
      <c r="B134" t="s">
        <v>253</v>
      </c>
      <c r="C134">
        <v>-4.4728855916467997E-2</v>
      </c>
      <c r="D134">
        <v>-1</v>
      </c>
      <c r="E134">
        <v>1</v>
      </c>
    </row>
    <row r="135" spans="1:5" x14ac:dyDescent="0.25">
      <c r="A135">
        <v>253</v>
      </c>
      <c r="B135" t="s">
        <v>254</v>
      </c>
      <c r="C135">
        <v>5.20963985688555E-2</v>
      </c>
      <c r="D135">
        <v>-1</v>
      </c>
      <c r="E135">
        <v>1</v>
      </c>
    </row>
    <row r="136" spans="1:5" x14ac:dyDescent="0.25">
      <c r="A136">
        <v>256</v>
      </c>
      <c r="B136" t="s">
        <v>257</v>
      </c>
      <c r="C136">
        <v>-7.3834187548234606E-2</v>
      </c>
      <c r="D136">
        <v>-1</v>
      </c>
      <c r="E136">
        <v>1</v>
      </c>
    </row>
    <row r="137" spans="1:5" x14ac:dyDescent="0.25">
      <c r="A137">
        <v>259</v>
      </c>
      <c r="B137" t="s">
        <v>260</v>
      </c>
      <c r="C137">
        <v>-1.09996424088764E-2</v>
      </c>
      <c r="D137">
        <v>-1</v>
      </c>
      <c r="E137">
        <v>1</v>
      </c>
    </row>
    <row r="138" spans="1:5" x14ac:dyDescent="0.25">
      <c r="A138">
        <v>260</v>
      </c>
      <c r="B138" t="s">
        <v>261</v>
      </c>
      <c r="C138">
        <v>-4.6807957163206203E-2</v>
      </c>
      <c r="D138">
        <v>-1</v>
      </c>
      <c r="E138">
        <v>1</v>
      </c>
    </row>
    <row r="139" spans="1:5" x14ac:dyDescent="0.25">
      <c r="A139">
        <v>261</v>
      </c>
      <c r="B139" t="s">
        <v>262</v>
      </c>
      <c r="C139">
        <v>-4.6903352202275199E-2</v>
      </c>
      <c r="D139">
        <v>-1</v>
      </c>
      <c r="E139">
        <v>1</v>
      </c>
    </row>
    <row r="140" spans="1:5" x14ac:dyDescent="0.25">
      <c r="A140">
        <v>262</v>
      </c>
      <c r="B140" t="s">
        <v>263</v>
      </c>
      <c r="C140">
        <v>2.40374141994378E-2</v>
      </c>
      <c r="D140">
        <v>-1</v>
      </c>
      <c r="E140">
        <v>1</v>
      </c>
    </row>
    <row r="141" spans="1:5" x14ac:dyDescent="0.25">
      <c r="A141">
        <v>267</v>
      </c>
      <c r="B141" t="s">
        <v>268</v>
      </c>
      <c r="C141">
        <v>2.5317954698034599E-2</v>
      </c>
      <c r="D141">
        <v>-1</v>
      </c>
      <c r="E141">
        <v>1</v>
      </c>
    </row>
    <row r="142" spans="1:5" x14ac:dyDescent="0.25">
      <c r="A142">
        <v>268</v>
      </c>
      <c r="B142" t="s">
        <v>269</v>
      </c>
      <c r="C142">
        <v>1.1771492999054899E-2</v>
      </c>
      <c r="D142">
        <v>-1</v>
      </c>
      <c r="E142">
        <v>1</v>
      </c>
    </row>
    <row r="143" spans="1:5" x14ac:dyDescent="0.25">
      <c r="A143">
        <v>269</v>
      </c>
      <c r="B143" t="s">
        <v>270</v>
      </c>
      <c r="C143">
        <v>-1.8975131834036499E-2</v>
      </c>
      <c r="D143">
        <v>-1</v>
      </c>
      <c r="E143">
        <v>1</v>
      </c>
    </row>
    <row r="144" spans="1:5" x14ac:dyDescent="0.25">
      <c r="A144">
        <v>274</v>
      </c>
      <c r="B144" t="s">
        <v>275</v>
      </c>
      <c r="C144">
        <v>2.0673722178358401E-3</v>
      </c>
      <c r="D144">
        <v>-1</v>
      </c>
      <c r="E144">
        <v>1</v>
      </c>
    </row>
    <row r="145" spans="1:5" x14ac:dyDescent="0.25">
      <c r="A145">
        <v>276</v>
      </c>
      <c r="B145" t="s">
        <v>277</v>
      </c>
      <c r="C145">
        <v>6.4034627534277799E-2</v>
      </c>
      <c r="D145">
        <v>-1</v>
      </c>
      <c r="E145">
        <v>1</v>
      </c>
    </row>
    <row r="146" spans="1:5" x14ac:dyDescent="0.25">
      <c r="A146">
        <v>281</v>
      </c>
      <c r="B146" t="s">
        <v>282</v>
      </c>
      <c r="C146">
        <v>-3.2495544385706301E-2</v>
      </c>
      <c r="D146">
        <v>-1</v>
      </c>
      <c r="E146">
        <v>1</v>
      </c>
    </row>
    <row r="147" spans="1:5" x14ac:dyDescent="0.25">
      <c r="A147">
        <v>284</v>
      </c>
      <c r="B147" t="s">
        <v>285</v>
      </c>
      <c r="C147">
        <v>2.2276385938714002E-2</v>
      </c>
      <c r="D147">
        <v>-1</v>
      </c>
      <c r="E147">
        <v>1</v>
      </c>
    </row>
    <row r="148" spans="1:5" x14ac:dyDescent="0.25">
      <c r="A148">
        <v>289</v>
      </c>
      <c r="B148" t="s">
        <v>290</v>
      </c>
      <c r="C148">
        <v>2.6959066494668501E-2</v>
      </c>
      <c r="D148">
        <v>-1</v>
      </c>
      <c r="E148">
        <v>1</v>
      </c>
    </row>
    <row r="149" spans="1:5" x14ac:dyDescent="0.25">
      <c r="A149">
        <v>294</v>
      </c>
      <c r="B149" t="s">
        <v>295</v>
      </c>
      <c r="C149">
        <v>-2.00669511901648E-2</v>
      </c>
      <c r="D149">
        <v>-1</v>
      </c>
      <c r="E149">
        <v>1</v>
      </c>
    </row>
    <row r="150" spans="1:5" x14ac:dyDescent="0.25">
      <c r="A150">
        <v>298</v>
      </c>
      <c r="B150" t="s">
        <v>299</v>
      </c>
      <c r="C150">
        <v>-0.11058494566233799</v>
      </c>
      <c r="D150">
        <v>-1</v>
      </c>
      <c r="E15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15D7-CFE8-4EBC-AC86-E1454589CDC4}">
  <dimension ref="A1:E142"/>
  <sheetViews>
    <sheetView workbookViewId="0">
      <selection activeCell="D2" sqref="D2:D26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302</v>
      </c>
      <c r="E1" t="s">
        <v>309</v>
      </c>
    </row>
    <row r="2" spans="1:5" x14ac:dyDescent="0.25">
      <c r="A2">
        <v>3</v>
      </c>
      <c r="B2" t="s">
        <v>4</v>
      </c>
      <c r="C2">
        <v>-3.1339852038853401E-2</v>
      </c>
      <c r="D2">
        <v>1</v>
      </c>
      <c r="E2">
        <v>1</v>
      </c>
    </row>
    <row r="3" spans="1:5" x14ac:dyDescent="0.25">
      <c r="A3">
        <v>4</v>
      </c>
      <c r="B3" t="s">
        <v>5</v>
      </c>
      <c r="C3">
        <v>-5.1920580052691102E-2</v>
      </c>
      <c r="D3">
        <v>1</v>
      </c>
      <c r="E3">
        <v>1</v>
      </c>
    </row>
    <row r="4" spans="1:5" x14ac:dyDescent="0.25">
      <c r="A4">
        <v>5</v>
      </c>
      <c r="B4" t="s">
        <v>6</v>
      </c>
      <c r="C4">
        <v>-2.05650993074105E-2</v>
      </c>
      <c r="D4">
        <v>1</v>
      </c>
      <c r="E4">
        <v>1</v>
      </c>
    </row>
    <row r="5" spans="1:5" x14ac:dyDescent="0.25">
      <c r="A5">
        <v>6</v>
      </c>
      <c r="B5" t="s">
        <v>7</v>
      </c>
      <c r="C5">
        <v>3.3709608516781897E-2</v>
      </c>
      <c r="D5">
        <v>1</v>
      </c>
      <c r="E5">
        <v>1</v>
      </c>
    </row>
    <row r="6" spans="1:5" x14ac:dyDescent="0.25">
      <c r="A6">
        <v>7</v>
      </c>
      <c r="B6" t="s">
        <v>8</v>
      </c>
      <c r="C6">
        <v>-9.6101362836143997E-2</v>
      </c>
      <c r="D6">
        <v>1</v>
      </c>
      <c r="E6">
        <v>1</v>
      </c>
    </row>
    <row r="7" spans="1:5" x14ac:dyDescent="0.25">
      <c r="A7">
        <v>11</v>
      </c>
      <c r="B7" t="s">
        <v>12</v>
      </c>
      <c r="C7">
        <v>7.7299617584423996E-2</v>
      </c>
      <c r="D7">
        <v>1</v>
      </c>
      <c r="E7">
        <v>1</v>
      </c>
    </row>
    <row r="8" spans="1:5" x14ac:dyDescent="0.25">
      <c r="A8">
        <v>12</v>
      </c>
      <c r="B8" t="s">
        <v>13</v>
      </c>
      <c r="C8">
        <v>4.1436876460371697E-2</v>
      </c>
      <c r="D8">
        <v>1</v>
      </c>
      <c r="E8">
        <v>1</v>
      </c>
    </row>
    <row r="9" spans="1:5" x14ac:dyDescent="0.25">
      <c r="A9">
        <v>13</v>
      </c>
      <c r="B9" t="s">
        <v>14</v>
      </c>
      <c r="C9">
        <v>-8.2328805449775999E-2</v>
      </c>
      <c r="D9">
        <v>1</v>
      </c>
      <c r="E9">
        <v>1</v>
      </c>
    </row>
    <row r="10" spans="1:5" x14ac:dyDescent="0.25">
      <c r="A10">
        <v>14</v>
      </c>
      <c r="B10" t="s">
        <v>15</v>
      </c>
      <c r="C10">
        <v>-2.89685082408879E-2</v>
      </c>
      <c r="D10">
        <v>1</v>
      </c>
      <c r="E10">
        <v>1</v>
      </c>
    </row>
    <row r="11" spans="1:5" x14ac:dyDescent="0.25">
      <c r="A11">
        <v>16</v>
      </c>
      <c r="B11" t="s">
        <v>17</v>
      </c>
      <c r="C11">
        <v>5.3045326505875498E-2</v>
      </c>
      <c r="D11">
        <v>1</v>
      </c>
      <c r="E11">
        <v>1</v>
      </c>
    </row>
    <row r="12" spans="1:5" x14ac:dyDescent="0.25">
      <c r="A12">
        <v>17</v>
      </c>
      <c r="B12" t="s">
        <v>18</v>
      </c>
      <c r="C12">
        <v>-3.0506191789632999E-4</v>
      </c>
      <c r="D12">
        <v>1</v>
      </c>
      <c r="E12">
        <v>1</v>
      </c>
    </row>
    <row r="13" spans="1:5" x14ac:dyDescent="0.25">
      <c r="A13">
        <v>19</v>
      </c>
      <c r="B13" t="s">
        <v>20</v>
      </c>
      <c r="C13">
        <v>9.1235344420342604E-2</v>
      </c>
      <c r="D13">
        <v>1</v>
      </c>
      <c r="E13">
        <v>1</v>
      </c>
    </row>
    <row r="14" spans="1:5" x14ac:dyDescent="0.25">
      <c r="A14">
        <v>27</v>
      </c>
      <c r="B14" t="s">
        <v>28</v>
      </c>
      <c r="C14">
        <v>5.3367727119415396E-3</v>
      </c>
      <c r="D14">
        <v>1</v>
      </c>
      <c r="E14">
        <v>1</v>
      </c>
    </row>
    <row r="15" spans="1:5" x14ac:dyDescent="0.25">
      <c r="A15">
        <v>28</v>
      </c>
      <c r="B15" t="s">
        <v>29</v>
      </c>
      <c r="C15">
        <v>3.3181766829937703E-2</v>
      </c>
      <c r="D15">
        <v>1</v>
      </c>
      <c r="E15">
        <v>1</v>
      </c>
    </row>
    <row r="16" spans="1:5" x14ac:dyDescent="0.25">
      <c r="A16">
        <v>30</v>
      </c>
      <c r="B16" t="s">
        <v>31</v>
      </c>
      <c r="C16">
        <v>1.29026537265442E-2</v>
      </c>
      <c r="D16">
        <v>1</v>
      </c>
      <c r="E16">
        <v>1</v>
      </c>
    </row>
    <row r="17" spans="1:5" x14ac:dyDescent="0.25">
      <c r="A17">
        <v>31</v>
      </c>
      <c r="B17" t="s">
        <v>32</v>
      </c>
      <c r="C17">
        <v>5.5142574062372801E-2</v>
      </c>
      <c r="D17">
        <v>1</v>
      </c>
      <c r="E17">
        <v>1</v>
      </c>
    </row>
    <row r="18" spans="1:5" x14ac:dyDescent="0.25">
      <c r="A18">
        <v>33</v>
      </c>
      <c r="B18" t="s">
        <v>34</v>
      </c>
      <c r="C18">
        <v>-2.71289654113505E-2</v>
      </c>
      <c r="D18">
        <v>1</v>
      </c>
      <c r="E18">
        <v>1</v>
      </c>
    </row>
    <row r="19" spans="1:5" x14ac:dyDescent="0.25">
      <c r="A19">
        <v>34</v>
      </c>
      <c r="B19" t="s">
        <v>35</v>
      </c>
      <c r="C19">
        <v>8.4742220444739294E-2</v>
      </c>
      <c r="D19">
        <v>1</v>
      </c>
      <c r="E19">
        <v>1</v>
      </c>
    </row>
    <row r="20" spans="1:5" x14ac:dyDescent="0.25">
      <c r="A20">
        <v>35</v>
      </c>
      <c r="B20" t="s">
        <v>36</v>
      </c>
      <c r="C20">
        <v>2.70852094675713E-2</v>
      </c>
      <c r="D20">
        <v>1</v>
      </c>
      <c r="E20">
        <v>1</v>
      </c>
    </row>
    <row r="21" spans="1:5" x14ac:dyDescent="0.25">
      <c r="A21">
        <v>36</v>
      </c>
      <c r="B21" t="s">
        <v>37</v>
      </c>
      <c r="C21">
        <v>-9.5724738480685606E-2</v>
      </c>
      <c r="D21">
        <v>1</v>
      </c>
      <c r="E21">
        <v>1</v>
      </c>
    </row>
    <row r="22" spans="1:5" x14ac:dyDescent="0.25">
      <c r="A22">
        <v>37</v>
      </c>
      <c r="B22" t="s">
        <v>38</v>
      </c>
      <c r="C22">
        <v>-6.2662696068742904E-2</v>
      </c>
      <c r="D22">
        <v>1</v>
      </c>
      <c r="E22">
        <v>1</v>
      </c>
    </row>
    <row r="23" spans="1:5" x14ac:dyDescent="0.25">
      <c r="A23">
        <v>44</v>
      </c>
      <c r="B23" t="s">
        <v>45</v>
      </c>
      <c r="C23">
        <v>2.4490396317133199E-2</v>
      </c>
      <c r="D23">
        <v>1</v>
      </c>
      <c r="E23">
        <v>1</v>
      </c>
    </row>
    <row r="24" spans="1:5" x14ac:dyDescent="0.25">
      <c r="A24">
        <v>45</v>
      </c>
      <c r="B24" t="s">
        <v>46</v>
      </c>
      <c r="C24">
        <v>9.4805246740049601E-3</v>
      </c>
      <c r="D24">
        <v>1</v>
      </c>
      <c r="E24">
        <v>1</v>
      </c>
    </row>
    <row r="25" spans="1:5" x14ac:dyDescent="0.25">
      <c r="A25">
        <v>49</v>
      </c>
      <c r="B25" t="s">
        <v>50</v>
      </c>
      <c r="C25">
        <v>-4.0900827956841398E-2</v>
      </c>
      <c r="D25">
        <v>1</v>
      </c>
      <c r="E25">
        <v>1</v>
      </c>
    </row>
    <row r="26" spans="1:5" x14ac:dyDescent="0.25">
      <c r="A26">
        <v>51</v>
      </c>
      <c r="B26" t="s">
        <v>52</v>
      </c>
      <c r="C26">
        <v>5.3280343777130403E-2</v>
      </c>
      <c r="D26">
        <v>1</v>
      </c>
      <c r="E26">
        <v>1</v>
      </c>
    </row>
    <row r="27" spans="1:5" x14ac:dyDescent="0.25">
      <c r="A27">
        <v>54</v>
      </c>
      <c r="B27" t="s">
        <v>55</v>
      </c>
      <c r="C27">
        <v>1.9517887019279902E-2</v>
      </c>
      <c r="D27">
        <v>1</v>
      </c>
      <c r="E27">
        <v>1</v>
      </c>
    </row>
    <row r="28" spans="1:5" x14ac:dyDescent="0.25">
      <c r="A28">
        <v>56</v>
      </c>
      <c r="B28" t="s">
        <v>57</v>
      </c>
      <c r="C28">
        <v>3.1859853169256699E-2</v>
      </c>
      <c r="D28">
        <v>1</v>
      </c>
      <c r="E28">
        <v>1</v>
      </c>
    </row>
    <row r="29" spans="1:5" x14ac:dyDescent="0.25">
      <c r="A29">
        <v>58</v>
      </c>
      <c r="B29" t="s">
        <v>59</v>
      </c>
      <c r="C29">
        <v>4.1943295325611004E-3</v>
      </c>
      <c r="D29">
        <v>1</v>
      </c>
      <c r="E29">
        <v>1</v>
      </c>
    </row>
    <row r="30" spans="1:5" x14ac:dyDescent="0.25">
      <c r="A30">
        <v>59</v>
      </c>
      <c r="B30" t="s">
        <v>60</v>
      </c>
      <c r="C30">
        <v>-0.122056367249555</v>
      </c>
      <c r="D30">
        <v>1</v>
      </c>
      <c r="E30">
        <v>1</v>
      </c>
    </row>
    <row r="31" spans="1:5" x14ac:dyDescent="0.25">
      <c r="A31">
        <v>60</v>
      </c>
      <c r="B31" t="s">
        <v>61</v>
      </c>
      <c r="C31">
        <v>0.130732322980772</v>
      </c>
      <c r="D31">
        <v>1</v>
      </c>
      <c r="E31">
        <v>1</v>
      </c>
    </row>
    <row r="32" spans="1:5" x14ac:dyDescent="0.25">
      <c r="A32">
        <v>61</v>
      </c>
      <c r="B32" t="s">
        <v>62</v>
      </c>
      <c r="C32">
        <v>-6.4685680458111501E-3</v>
      </c>
      <c r="D32">
        <v>1</v>
      </c>
      <c r="E32">
        <v>1</v>
      </c>
    </row>
    <row r="33" spans="1:5" x14ac:dyDescent="0.25">
      <c r="A33">
        <v>66</v>
      </c>
      <c r="B33" t="s">
        <v>67</v>
      </c>
      <c r="C33">
        <v>-7.4543721473828498E-3</v>
      </c>
      <c r="D33">
        <v>1</v>
      </c>
      <c r="E33">
        <v>1</v>
      </c>
    </row>
    <row r="34" spans="1:5" x14ac:dyDescent="0.25">
      <c r="A34">
        <v>67</v>
      </c>
      <c r="B34" t="s">
        <v>68</v>
      </c>
      <c r="C34">
        <v>2.33904863967196E-2</v>
      </c>
      <c r="D34">
        <v>1</v>
      </c>
      <c r="E34">
        <v>1</v>
      </c>
    </row>
    <row r="35" spans="1:5" x14ac:dyDescent="0.25">
      <c r="A35">
        <v>68</v>
      </c>
      <c r="B35" t="s">
        <v>69</v>
      </c>
      <c r="C35">
        <v>-4.6740399288889602E-2</v>
      </c>
      <c r="D35">
        <v>1</v>
      </c>
      <c r="E35">
        <v>1</v>
      </c>
    </row>
    <row r="36" spans="1:5" x14ac:dyDescent="0.25">
      <c r="A36">
        <v>69</v>
      </c>
      <c r="B36" t="s">
        <v>70</v>
      </c>
      <c r="C36">
        <v>5.2068825223763299E-2</v>
      </c>
      <c r="D36">
        <v>1</v>
      </c>
      <c r="E36">
        <v>1</v>
      </c>
    </row>
    <row r="37" spans="1:5" x14ac:dyDescent="0.25">
      <c r="A37">
        <v>70</v>
      </c>
      <c r="B37" t="s">
        <v>71</v>
      </c>
      <c r="C37">
        <v>-2.55107008794626E-3</v>
      </c>
      <c r="D37">
        <v>1</v>
      </c>
      <c r="E37">
        <v>1</v>
      </c>
    </row>
    <row r="38" spans="1:5" x14ac:dyDescent="0.25">
      <c r="A38">
        <v>73</v>
      </c>
      <c r="B38" t="s">
        <v>74</v>
      </c>
      <c r="C38">
        <v>-1.31419769036782E-2</v>
      </c>
      <c r="D38">
        <v>1</v>
      </c>
      <c r="E38">
        <v>1</v>
      </c>
    </row>
    <row r="39" spans="1:5" x14ac:dyDescent="0.25">
      <c r="A39">
        <v>76</v>
      </c>
      <c r="B39" t="s">
        <v>77</v>
      </c>
      <c r="C39">
        <v>-1.9218338228783001E-2</v>
      </c>
      <c r="D39">
        <v>1</v>
      </c>
      <c r="E39">
        <v>1</v>
      </c>
    </row>
    <row r="40" spans="1:5" x14ac:dyDescent="0.25">
      <c r="A40">
        <v>79</v>
      </c>
      <c r="B40" t="s">
        <v>80</v>
      </c>
      <c r="C40">
        <v>1.09766413914583E-3</v>
      </c>
      <c r="D40">
        <v>1</v>
      </c>
      <c r="E40">
        <v>1</v>
      </c>
    </row>
    <row r="41" spans="1:5" x14ac:dyDescent="0.25">
      <c r="A41">
        <v>82</v>
      </c>
      <c r="B41" t="s">
        <v>83</v>
      </c>
      <c r="C41">
        <v>1.33643197958862E-2</v>
      </c>
      <c r="D41">
        <v>1</v>
      </c>
      <c r="E41">
        <v>1</v>
      </c>
    </row>
    <row r="42" spans="1:5" x14ac:dyDescent="0.25">
      <c r="A42">
        <v>84</v>
      </c>
      <c r="B42" t="s">
        <v>85</v>
      </c>
      <c r="C42">
        <v>-4.6307086644945698E-2</v>
      </c>
      <c r="D42">
        <v>1</v>
      </c>
      <c r="E42">
        <v>1</v>
      </c>
    </row>
    <row r="43" spans="1:5" x14ac:dyDescent="0.25">
      <c r="A43">
        <v>86</v>
      </c>
      <c r="B43" t="s">
        <v>87</v>
      </c>
      <c r="C43">
        <v>7.2246326487118998E-2</v>
      </c>
      <c r="D43">
        <v>1</v>
      </c>
      <c r="E43">
        <v>1</v>
      </c>
    </row>
    <row r="44" spans="1:5" x14ac:dyDescent="0.25">
      <c r="A44">
        <v>87</v>
      </c>
      <c r="B44" t="s">
        <v>88</v>
      </c>
      <c r="C44">
        <v>3.37802102904841E-2</v>
      </c>
      <c r="D44">
        <v>1</v>
      </c>
      <c r="E44">
        <v>1</v>
      </c>
    </row>
    <row r="45" spans="1:5" x14ac:dyDescent="0.25">
      <c r="A45">
        <v>88</v>
      </c>
      <c r="B45" t="s">
        <v>89</v>
      </c>
      <c r="C45">
        <v>-5.2427608610379102E-2</v>
      </c>
      <c r="D45">
        <v>1</v>
      </c>
      <c r="E45">
        <v>1</v>
      </c>
    </row>
    <row r="46" spans="1:5" x14ac:dyDescent="0.25">
      <c r="A46">
        <v>90</v>
      </c>
      <c r="B46" t="s">
        <v>91</v>
      </c>
      <c r="C46">
        <v>2.8793257162191301E-2</v>
      </c>
      <c r="D46">
        <v>1</v>
      </c>
      <c r="E46">
        <v>1</v>
      </c>
    </row>
    <row r="47" spans="1:5" x14ac:dyDescent="0.25">
      <c r="A47">
        <v>91</v>
      </c>
      <c r="B47" t="s">
        <v>92</v>
      </c>
      <c r="C47">
        <v>-2.24172430062923E-2</v>
      </c>
      <c r="D47">
        <v>1</v>
      </c>
      <c r="E47">
        <v>1</v>
      </c>
    </row>
    <row r="48" spans="1:5" x14ac:dyDescent="0.25">
      <c r="A48">
        <v>92</v>
      </c>
      <c r="B48" t="s">
        <v>93</v>
      </c>
      <c r="C48">
        <v>-0.10239834715568299</v>
      </c>
      <c r="D48">
        <v>1</v>
      </c>
      <c r="E48">
        <v>1</v>
      </c>
    </row>
    <row r="49" spans="1:5" x14ac:dyDescent="0.25">
      <c r="A49">
        <v>93</v>
      </c>
      <c r="B49" t="s">
        <v>94</v>
      </c>
      <c r="C49">
        <v>4.6599858352524899E-2</v>
      </c>
      <c r="D49">
        <v>1</v>
      </c>
      <c r="E49">
        <v>1</v>
      </c>
    </row>
    <row r="50" spans="1:5" x14ac:dyDescent="0.25">
      <c r="A50">
        <v>95</v>
      </c>
      <c r="B50" t="s">
        <v>96</v>
      </c>
      <c r="C50">
        <v>-1.50714890531141E-2</v>
      </c>
      <c r="D50">
        <v>1</v>
      </c>
      <c r="E50">
        <v>1</v>
      </c>
    </row>
    <row r="51" spans="1:5" x14ac:dyDescent="0.25">
      <c r="A51">
        <v>97</v>
      </c>
      <c r="B51" t="s">
        <v>98</v>
      </c>
      <c r="C51">
        <v>-1.6833916550104501E-2</v>
      </c>
      <c r="D51">
        <v>1</v>
      </c>
      <c r="E51">
        <v>1</v>
      </c>
    </row>
    <row r="52" spans="1:5" x14ac:dyDescent="0.25">
      <c r="A52">
        <v>98</v>
      </c>
      <c r="B52" t="s">
        <v>99</v>
      </c>
      <c r="C52">
        <v>5.7612683271316703E-2</v>
      </c>
      <c r="D52">
        <v>1</v>
      </c>
      <c r="E52">
        <v>1</v>
      </c>
    </row>
    <row r="53" spans="1:5" x14ac:dyDescent="0.25">
      <c r="A53">
        <v>102</v>
      </c>
      <c r="B53" t="s">
        <v>103</v>
      </c>
      <c r="C53">
        <v>-5.5863734129652502E-2</v>
      </c>
      <c r="D53">
        <v>1</v>
      </c>
      <c r="E53">
        <v>1</v>
      </c>
    </row>
    <row r="54" spans="1:5" x14ac:dyDescent="0.25">
      <c r="A54">
        <v>110</v>
      </c>
      <c r="B54" t="s">
        <v>111</v>
      </c>
      <c r="C54">
        <v>2.05545621742548E-2</v>
      </c>
      <c r="D54">
        <v>1</v>
      </c>
      <c r="E54">
        <v>1</v>
      </c>
    </row>
    <row r="55" spans="1:5" x14ac:dyDescent="0.25">
      <c r="A55">
        <v>112</v>
      </c>
      <c r="B55" t="s">
        <v>113</v>
      </c>
      <c r="C55">
        <v>1.94713939888345E-2</v>
      </c>
      <c r="D55">
        <v>1</v>
      </c>
      <c r="E55">
        <v>1</v>
      </c>
    </row>
    <row r="56" spans="1:5" x14ac:dyDescent="0.25">
      <c r="A56">
        <v>115</v>
      </c>
      <c r="B56" t="s">
        <v>116</v>
      </c>
      <c r="C56">
        <v>-1.54897536401714E-2</v>
      </c>
      <c r="D56">
        <v>1</v>
      </c>
      <c r="E56">
        <v>1</v>
      </c>
    </row>
    <row r="57" spans="1:5" x14ac:dyDescent="0.25">
      <c r="A57">
        <v>116</v>
      </c>
      <c r="B57" t="s">
        <v>117</v>
      </c>
      <c r="C57">
        <v>-0.12914591397978201</v>
      </c>
      <c r="D57">
        <v>1</v>
      </c>
      <c r="E57">
        <v>1</v>
      </c>
    </row>
    <row r="58" spans="1:5" x14ac:dyDescent="0.25">
      <c r="A58">
        <v>117</v>
      </c>
      <c r="B58" t="s">
        <v>118</v>
      </c>
      <c r="C58">
        <v>-3.59028898248417E-3</v>
      </c>
      <c r="D58">
        <v>1</v>
      </c>
      <c r="E58">
        <v>1</v>
      </c>
    </row>
    <row r="59" spans="1:5" x14ac:dyDescent="0.25">
      <c r="A59">
        <v>121</v>
      </c>
      <c r="B59" t="s">
        <v>122</v>
      </c>
      <c r="C59">
        <v>9.0151611459758696E-2</v>
      </c>
      <c r="D59">
        <v>1</v>
      </c>
      <c r="E59">
        <v>1</v>
      </c>
    </row>
    <row r="60" spans="1:5" x14ac:dyDescent="0.25">
      <c r="A60">
        <v>125</v>
      </c>
      <c r="B60" t="s">
        <v>126</v>
      </c>
      <c r="C60">
        <v>-1.7484691013640901E-2</v>
      </c>
      <c r="D60">
        <v>1</v>
      </c>
      <c r="E60">
        <v>1</v>
      </c>
    </row>
    <row r="61" spans="1:5" x14ac:dyDescent="0.25">
      <c r="A61">
        <v>127</v>
      </c>
      <c r="B61" t="s">
        <v>128</v>
      </c>
      <c r="C61">
        <v>0.12222648972533701</v>
      </c>
      <c r="D61">
        <v>1</v>
      </c>
      <c r="E61">
        <v>1</v>
      </c>
    </row>
    <row r="62" spans="1:5" x14ac:dyDescent="0.25">
      <c r="A62">
        <v>128</v>
      </c>
      <c r="B62" t="s">
        <v>129</v>
      </c>
      <c r="C62">
        <v>1.33606785668151E-3</v>
      </c>
      <c r="D62">
        <v>1</v>
      </c>
      <c r="E62">
        <v>1</v>
      </c>
    </row>
    <row r="63" spans="1:5" x14ac:dyDescent="0.25">
      <c r="A63">
        <v>131</v>
      </c>
      <c r="B63" t="s">
        <v>132</v>
      </c>
      <c r="C63">
        <v>4.9196684820884198E-3</v>
      </c>
      <c r="D63">
        <v>1</v>
      </c>
      <c r="E63">
        <v>1</v>
      </c>
    </row>
    <row r="64" spans="1:5" x14ac:dyDescent="0.25">
      <c r="A64">
        <v>132</v>
      </c>
      <c r="B64" t="s">
        <v>133</v>
      </c>
      <c r="C64">
        <v>2.3436235712633698E-2</v>
      </c>
      <c r="D64">
        <v>1</v>
      </c>
      <c r="E64">
        <v>1</v>
      </c>
    </row>
    <row r="65" spans="1:5" x14ac:dyDescent="0.25">
      <c r="A65">
        <v>136</v>
      </c>
      <c r="B65" t="s">
        <v>137</v>
      </c>
      <c r="C65">
        <v>-4.2557660521457298E-2</v>
      </c>
      <c r="D65">
        <v>1</v>
      </c>
      <c r="E65">
        <v>1</v>
      </c>
    </row>
    <row r="66" spans="1:5" x14ac:dyDescent="0.25">
      <c r="A66">
        <v>138</v>
      </c>
      <c r="B66" t="s">
        <v>139</v>
      </c>
      <c r="C66">
        <v>6.1638229601805601E-2</v>
      </c>
      <c r="D66">
        <v>1</v>
      </c>
      <c r="E66">
        <v>1</v>
      </c>
    </row>
    <row r="67" spans="1:5" x14ac:dyDescent="0.25">
      <c r="A67">
        <v>139</v>
      </c>
      <c r="B67" t="s">
        <v>140</v>
      </c>
      <c r="C67">
        <v>-9.2158349132195796E-2</v>
      </c>
      <c r="D67">
        <v>1</v>
      </c>
      <c r="E67">
        <v>1</v>
      </c>
    </row>
    <row r="68" spans="1:5" x14ac:dyDescent="0.25">
      <c r="A68">
        <v>141</v>
      </c>
      <c r="B68" t="s">
        <v>142</v>
      </c>
      <c r="C68">
        <v>-5.50343814866774E-2</v>
      </c>
      <c r="D68">
        <v>1</v>
      </c>
      <c r="E68">
        <v>1</v>
      </c>
    </row>
    <row r="69" spans="1:5" x14ac:dyDescent="0.25">
      <c r="A69">
        <v>148</v>
      </c>
      <c r="B69" t="s">
        <v>149</v>
      </c>
      <c r="C69">
        <v>5.1044308727193503E-2</v>
      </c>
      <c r="D69">
        <v>1</v>
      </c>
      <c r="E69">
        <v>1</v>
      </c>
    </row>
    <row r="70" spans="1:5" x14ac:dyDescent="0.25">
      <c r="A70">
        <v>149</v>
      </c>
      <c r="B70" t="s">
        <v>150</v>
      </c>
      <c r="C70">
        <v>-8.1615759789840897E-2</v>
      </c>
      <c r="D70">
        <v>1</v>
      </c>
      <c r="E70">
        <v>1</v>
      </c>
    </row>
    <row r="71" spans="1:5" x14ac:dyDescent="0.25">
      <c r="A71">
        <v>151</v>
      </c>
      <c r="B71" t="s">
        <v>152</v>
      </c>
      <c r="C71">
        <v>7.9397505534160903E-2</v>
      </c>
      <c r="D71">
        <v>1</v>
      </c>
      <c r="E71">
        <v>1</v>
      </c>
    </row>
    <row r="72" spans="1:5" x14ac:dyDescent="0.25">
      <c r="A72">
        <v>152</v>
      </c>
      <c r="B72" t="s">
        <v>153</v>
      </c>
      <c r="C72">
        <v>6.0021864765586401E-2</v>
      </c>
      <c r="D72">
        <v>1</v>
      </c>
      <c r="E72">
        <v>1</v>
      </c>
    </row>
    <row r="73" spans="1:5" x14ac:dyDescent="0.25">
      <c r="A73">
        <v>153</v>
      </c>
      <c r="B73" t="s">
        <v>154</v>
      </c>
      <c r="C73">
        <v>2.50864732348853E-2</v>
      </c>
      <c r="D73">
        <v>1</v>
      </c>
      <c r="E73">
        <v>1</v>
      </c>
    </row>
    <row r="74" spans="1:5" x14ac:dyDescent="0.25">
      <c r="A74">
        <v>157</v>
      </c>
      <c r="B74" t="s">
        <v>158</v>
      </c>
      <c r="C74">
        <v>6.1143750164145798E-2</v>
      </c>
      <c r="D74">
        <v>1</v>
      </c>
      <c r="E74">
        <v>1</v>
      </c>
    </row>
    <row r="75" spans="1:5" x14ac:dyDescent="0.25">
      <c r="A75">
        <v>159</v>
      </c>
      <c r="B75" t="s">
        <v>160</v>
      </c>
      <c r="C75">
        <v>2.1300575398416299E-2</v>
      </c>
      <c r="D75">
        <v>1</v>
      </c>
      <c r="E75">
        <v>1</v>
      </c>
    </row>
    <row r="76" spans="1:5" x14ac:dyDescent="0.25">
      <c r="A76">
        <v>161</v>
      </c>
      <c r="B76" t="s">
        <v>162</v>
      </c>
      <c r="C76">
        <v>5.4125362359730499E-2</v>
      </c>
      <c r="D76">
        <v>1</v>
      </c>
      <c r="E76">
        <v>1</v>
      </c>
    </row>
    <row r="77" spans="1:5" x14ac:dyDescent="0.25">
      <c r="A77">
        <v>164</v>
      </c>
      <c r="B77" t="s">
        <v>165</v>
      </c>
      <c r="C77">
        <v>1.2876150417475101E-2</v>
      </c>
      <c r="D77">
        <v>1</v>
      </c>
      <c r="E77">
        <v>1</v>
      </c>
    </row>
    <row r="78" spans="1:5" x14ac:dyDescent="0.25">
      <c r="A78">
        <v>166</v>
      </c>
      <c r="B78" t="s">
        <v>167</v>
      </c>
      <c r="C78">
        <v>6.3482801437420397E-2</v>
      </c>
      <c r="D78">
        <v>1</v>
      </c>
      <c r="E78">
        <v>1</v>
      </c>
    </row>
    <row r="79" spans="1:5" x14ac:dyDescent="0.25">
      <c r="A79">
        <v>167</v>
      </c>
      <c r="B79" t="s">
        <v>168</v>
      </c>
      <c r="C79">
        <v>4.3410697304052198E-2</v>
      </c>
      <c r="D79">
        <v>1</v>
      </c>
      <c r="E79">
        <v>1</v>
      </c>
    </row>
    <row r="80" spans="1:5" x14ac:dyDescent="0.25">
      <c r="A80">
        <v>169</v>
      </c>
      <c r="B80" t="s">
        <v>170</v>
      </c>
      <c r="C80">
        <v>8.4263170721012495E-3</v>
      </c>
      <c r="D80">
        <v>1</v>
      </c>
      <c r="E80">
        <v>1</v>
      </c>
    </row>
    <row r="81" spans="1:5" x14ac:dyDescent="0.25">
      <c r="A81">
        <v>170</v>
      </c>
      <c r="B81" t="s">
        <v>171</v>
      </c>
      <c r="C81">
        <v>5.9939782565259503E-2</v>
      </c>
      <c r="D81">
        <v>1</v>
      </c>
      <c r="E81">
        <v>1</v>
      </c>
    </row>
    <row r="82" spans="1:5" x14ac:dyDescent="0.25">
      <c r="A82">
        <v>172</v>
      </c>
      <c r="B82" t="s">
        <v>173</v>
      </c>
      <c r="C82">
        <v>-1.34211754166952E-2</v>
      </c>
      <c r="D82">
        <v>1</v>
      </c>
      <c r="E82">
        <v>1</v>
      </c>
    </row>
    <row r="83" spans="1:5" x14ac:dyDescent="0.25">
      <c r="A83">
        <v>174</v>
      </c>
      <c r="B83" t="s">
        <v>175</v>
      </c>
      <c r="C83">
        <v>9.3169406332560007E-3</v>
      </c>
      <c r="D83">
        <v>1</v>
      </c>
      <c r="E83">
        <v>1</v>
      </c>
    </row>
    <row r="84" spans="1:5" x14ac:dyDescent="0.25">
      <c r="A84">
        <v>178</v>
      </c>
      <c r="B84" t="s">
        <v>179</v>
      </c>
      <c r="C84">
        <v>-1.3202387130835999E-2</v>
      </c>
      <c r="D84">
        <v>1</v>
      </c>
      <c r="E84">
        <v>1</v>
      </c>
    </row>
    <row r="85" spans="1:5" x14ac:dyDescent="0.25">
      <c r="A85">
        <v>179</v>
      </c>
      <c r="B85" t="s">
        <v>180</v>
      </c>
      <c r="C85">
        <v>2.3015467579347599E-2</v>
      </c>
      <c r="D85">
        <v>1</v>
      </c>
      <c r="E85">
        <v>1</v>
      </c>
    </row>
    <row r="86" spans="1:5" x14ac:dyDescent="0.25">
      <c r="A86">
        <v>182</v>
      </c>
      <c r="B86" t="s">
        <v>183</v>
      </c>
      <c r="C86">
        <v>2.8334734936208E-2</v>
      </c>
      <c r="D86">
        <v>1</v>
      </c>
      <c r="E86">
        <v>1</v>
      </c>
    </row>
    <row r="87" spans="1:5" x14ac:dyDescent="0.25">
      <c r="A87">
        <v>187</v>
      </c>
      <c r="B87" t="s">
        <v>188</v>
      </c>
      <c r="C87">
        <v>5.6837866439918103E-2</v>
      </c>
      <c r="D87">
        <v>1</v>
      </c>
      <c r="E87">
        <v>1</v>
      </c>
    </row>
    <row r="88" spans="1:5" x14ac:dyDescent="0.25">
      <c r="A88">
        <v>188</v>
      </c>
      <c r="B88" t="s">
        <v>189</v>
      </c>
      <c r="C88">
        <v>-2.7872354687247199E-2</v>
      </c>
      <c r="D88">
        <v>1</v>
      </c>
      <c r="E88">
        <v>1</v>
      </c>
    </row>
    <row r="89" spans="1:5" x14ac:dyDescent="0.25">
      <c r="A89">
        <v>189</v>
      </c>
      <c r="B89" t="s">
        <v>190</v>
      </c>
      <c r="C89">
        <v>8.8884598561579098E-2</v>
      </c>
      <c r="D89">
        <v>1</v>
      </c>
      <c r="E89">
        <v>1</v>
      </c>
    </row>
    <row r="90" spans="1:5" x14ac:dyDescent="0.25">
      <c r="A90">
        <v>191</v>
      </c>
      <c r="B90" t="s">
        <v>192</v>
      </c>
      <c r="C90">
        <v>-3.1447552866715701E-3</v>
      </c>
      <c r="D90">
        <v>1</v>
      </c>
      <c r="E90">
        <v>1</v>
      </c>
    </row>
    <row r="91" spans="1:5" x14ac:dyDescent="0.25">
      <c r="A91">
        <v>193</v>
      </c>
      <c r="B91" t="s">
        <v>194</v>
      </c>
      <c r="C91">
        <v>6.5650030589014696E-2</v>
      </c>
      <c r="D91">
        <v>1</v>
      </c>
      <c r="E91">
        <v>1</v>
      </c>
    </row>
    <row r="92" spans="1:5" x14ac:dyDescent="0.25">
      <c r="A92">
        <v>196</v>
      </c>
      <c r="B92" t="s">
        <v>197</v>
      </c>
      <c r="C92">
        <v>-4.79318191210511E-2</v>
      </c>
      <c r="D92">
        <v>1</v>
      </c>
      <c r="E92">
        <v>1</v>
      </c>
    </row>
    <row r="93" spans="1:5" x14ac:dyDescent="0.25">
      <c r="A93">
        <v>197</v>
      </c>
      <c r="B93" t="s">
        <v>198</v>
      </c>
      <c r="C93">
        <v>1.50994478677158E-2</v>
      </c>
      <c r="D93">
        <v>1</v>
      </c>
      <c r="E93">
        <v>1</v>
      </c>
    </row>
    <row r="94" spans="1:5" x14ac:dyDescent="0.25">
      <c r="A94">
        <v>201</v>
      </c>
      <c r="B94" t="s">
        <v>202</v>
      </c>
      <c r="C94">
        <v>-8.1065388104136198E-3</v>
      </c>
      <c r="D94">
        <v>1</v>
      </c>
      <c r="E94">
        <v>1</v>
      </c>
    </row>
    <row r="95" spans="1:5" x14ac:dyDescent="0.25">
      <c r="A95">
        <v>202</v>
      </c>
      <c r="B95" t="s">
        <v>203</v>
      </c>
      <c r="C95">
        <v>-3.6560799790600597E-2</v>
      </c>
      <c r="D95">
        <v>1</v>
      </c>
      <c r="E95">
        <v>1</v>
      </c>
    </row>
    <row r="96" spans="1:5" x14ac:dyDescent="0.25">
      <c r="A96">
        <v>204</v>
      </c>
      <c r="B96" t="s">
        <v>205</v>
      </c>
      <c r="C96">
        <v>4.2985005722637103E-2</v>
      </c>
      <c r="D96">
        <v>1</v>
      </c>
      <c r="E96">
        <v>1</v>
      </c>
    </row>
    <row r="97" spans="1:5" x14ac:dyDescent="0.25">
      <c r="A97">
        <v>209</v>
      </c>
      <c r="B97" t="s">
        <v>210</v>
      </c>
      <c r="C97">
        <v>2.4015081232774099E-2</v>
      </c>
      <c r="D97">
        <v>1</v>
      </c>
      <c r="E97">
        <v>1</v>
      </c>
    </row>
    <row r="98" spans="1:5" x14ac:dyDescent="0.25">
      <c r="A98">
        <v>211</v>
      </c>
      <c r="B98" t="s">
        <v>212</v>
      </c>
      <c r="C98">
        <v>-3.6760110113782099E-3</v>
      </c>
      <c r="D98">
        <v>1</v>
      </c>
      <c r="E98">
        <v>1</v>
      </c>
    </row>
    <row r="99" spans="1:5" x14ac:dyDescent="0.25">
      <c r="A99">
        <v>212</v>
      </c>
      <c r="B99" t="s">
        <v>213</v>
      </c>
      <c r="C99">
        <v>1.32445013860526E-2</v>
      </c>
      <c r="D99">
        <v>1</v>
      </c>
      <c r="E99">
        <v>1</v>
      </c>
    </row>
    <row r="100" spans="1:5" x14ac:dyDescent="0.25">
      <c r="A100">
        <v>213</v>
      </c>
      <c r="B100" t="s">
        <v>214</v>
      </c>
      <c r="C100">
        <v>5.6448017004682702E-2</v>
      </c>
      <c r="D100">
        <v>1</v>
      </c>
      <c r="E100">
        <v>1</v>
      </c>
    </row>
    <row r="101" spans="1:5" x14ac:dyDescent="0.25">
      <c r="A101">
        <v>216</v>
      </c>
      <c r="B101" t="s">
        <v>217</v>
      </c>
      <c r="C101">
        <v>-1.99829932720322E-2</v>
      </c>
      <c r="D101">
        <v>1</v>
      </c>
      <c r="E101">
        <v>1</v>
      </c>
    </row>
    <row r="102" spans="1:5" x14ac:dyDescent="0.25">
      <c r="A102">
        <v>222</v>
      </c>
      <c r="B102" t="s">
        <v>223</v>
      </c>
      <c r="C102">
        <v>7.6585360994097895E-4</v>
      </c>
      <c r="D102">
        <v>1</v>
      </c>
      <c r="E102">
        <v>1</v>
      </c>
    </row>
    <row r="103" spans="1:5" x14ac:dyDescent="0.25">
      <c r="A103">
        <v>223</v>
      </c>
      <c r="B103" t="s">
        <v>224</v>
      </c>
      <c r="C103">
        <v>-2.3822551990422301E-2</v>
      </c>
      <c r="D103">
        <v>1</v>
      </c>
      <c r="E103">
        <v>1</v>
      </c>
    </row>
    <row r="104" spans="1:5" x14ac:dyDescent="0.25">
      <c r="A104">
        <v>224</v>
      </c>
      <c r="B104" t="s">
        <v>225</v>
      </c>
      <c r="C104">
        <v>-6.7213748829211099E-3</v>
      </c>
      <c r="D104">
        <v>1</v>
      </c>
      <c r="E104">
        <v>1</v>
      </c>
    </row>
    <row r="105" spans="1:5" x14ac:dyDescent="0.25">
      <c r="A105">
        <v>226</v>
      </c>
      <c r="B105" t="s">
        <v>227</v>
      </c>
      <c r="C105">
        <v>2.80996974345528E-2</v>
      </c>
      <c r="D105">
        <v>1</v>
      </c>
      <c r="E105">
        <v>1</v>
      </c>
    </row>
    <row r="106" spans="1:5" x14ac:dyDescent="0.25">
      <c r="A106">
        <v>229</v>
      </c>
      <c r="B106" t="s">
        <v>230</v>
      </c>
      <c r="C106">
        <v>2.9360259814290499E-2</v>
      </c>
      <c r="D106">
        <v>1</v>
      </c>
      <c r="E106">
        <v>1</v>
      </c>
    </row>
    <row r="107" spans="1:5" x14ac:dyDescent="0.25">
      <c r="A107">
        <v>231</v>
      </c>
      <c r="B107" t="s">
        <v>232</v>
      </c>
      <c r="C107">
        <v>4.9821473101441298E-2</v>
      </c>
      <c r="D107">
        <v>1</v>
      </c>
      <c r="E107">
        <v>1</v>
      </c>
    </row>
    <row r="108" spans="1:5" x14ac:dyDescent="0.25">
      <c r="A108">
        <v>233</v>
      </c>
      <c r="B108" t="s">
        <v>234</v>
      </c>
      <c r="C108">
        <v>-6.8882886968495094E-2</v>
      </c>
      <c r="D108">
        <v>1</v>
      </c>
      <c r="E108">
        <v>1</v>
      </c>
    </row>
    <row r="109" spans="1:5" x14ac:dyDescent="0.25">
      <c r="A109">
        <v>238</v>
      </c>
      <c r="B109" t="s">
        <v>239</v>
      </c>
      <c r="C109">
        <v>2.2132610203902201E-2</v>
      </c>
      <c r="D109">
        <v>1</v>
      </c>
      <c r="E109">
        <v>1</v>
      </c>
    </row>
    <row r="110" spans="1:5" x14ac:dyDescent="0.25">
      <c r="A110">
        <v>239</v>
      </c>
      <c r="B110" t="s">
        <v>240</v>
      </c>
      <c r="C110">
        <v>-2.7184815474197401E-2</v>
      </c>
      <c r="D110">
        <v>1</v>
      </c>
      <c r="E110">
        <v>1</v>
      </c>
    </row>
    <row r="111" spans="1:5" x14ac:dyDescent="0.25">
      <c r="A111">
        <v>243</v>
      </c>
      <c r="B111" t="s">
        <v>244</v>
      </c>
      <c r="C111">
        <v>5.0168970894949302E-2</v>
      </c>
      <c r="D111">
        <v>1</v>
      </c>
      <c r="E111">
        <v>1</v>
      </c>
    </row>
    <row r="112" spans="1:5" x14ac:dyDescent="0.25">
      <c r="A112">
        <v>246</v>
      </c>
      <c r="B112" t="s">
        <v>247</v>
      </c>
      <c r="C112">
        <v>6.2231242528083902E-2</v>
      </c>
      <c r="D112">
        <v>1</v>
      </c>
      <c r="E112">
        <v>1</v>
      </c>
    </row>
    <row r="113" spans="1:5" x14ac:dyDescent="0.25">
      <c r="A113">
        <v>250</v>
      </c>
      <c r="B113" t="s">
        <v>251</v>
      </c>
      <c r="C113">
        <v>-2.3006174308031601E-2</v>
      </c>
      <c r="D113">
        <v>1</v>
      </c>
      <c r="E113">
        <v>1</v>
      </c>
    </row>
    <row r="114" spans="1:5" x14ac:dyDescent="0.25">
      <c r="A114">
        <v>254</v>
      </c>
      <c r="B114" t="s">
        <v>255</v>
      </c>
      <c r="C114">
        <v>1.3396202467720299E-2</v>
      </c>
      <c r="D114">
        <v>1</v>
      </c>
      <c r="E114">
        <v>1</v>
      </c>
    </row>
    <row r="115" spans="1:5" x14ac:dyDescent="0.25">
      <c r="A115">
        <v>255</v>
      </c>
      <c r="B115" t="s">
        <v>256</v>
      </c>
      <c r="C115">
        <v>9.8580857292616494E-2</v>
      </c>
      <c r="D115">
        <v>1</v>
      </c>
      <c r="E115">
        <v>1</v>
      </c>
    </row>
    <row r="116" spans="1:5" x14ac:dyDescent="0.25">
      <c r="A116">
        <v>257</v>
      </c>
      <c r="B116" t="s">
        <v>258</v>
      </c>
      <c r="C116">
        <v>8.2431006552471098E-3</v>
      </c>
      <c r="D116">
        <v>1</v>
      </c>
      <c r="E116">
        <v>1</v>
      </c>
    </row>
    <row r="117" spans="1:5" x14ac:dyDescent="0.25">
      <c r="A117">
        <v>258</v>
      </c>
      <c r="B117" t="s">
        <v>259</v>
      </c>
      <c r="C117">
        <v>-2.0038717649774201E-2</v>
      </c>
      <c r="D117">
        <v>1</v>
      </c>
      <c r="E117">
        <v>1</v>
      </c>
    </row>
    <row r="118" spans="1:5" x14ac:dyDescent="0.25">
      <c r="A118">
        <v>264</v>
      </c>
      <c r="B118" t="s">
        <v>265</v>
      </c>
      <c r="C118">
        <v>8.7203533354482402E-2</v>
      </c>
      <c r="D118">
        <v>1</v>
      </c>
      <c r="E118">
        <v>1</v>
      </c>
    </row>
    <row r="119" spans="1:5" x14ac:dyDescent="0.25">
      <c r="A119">
        <v>265</v>
      </c>
      <c r="B119" t="s">
        <v>266</v>
      </c>
      <c r="C119">
        <v>-3.6379539527376603E-2</v>
      </c>
      <c r="D119">
        <v>1</v>
      </c>
      <c r="E119">
        <v>1</v>
      </c>
    </row>
    <row r="120" spans="1:5" x14ac:dyDescent="0.25">
      <c r="A120">
        <v>266</v>
      </c>
      <c r="B120" t="s">
        <v>267</v>
      </c>
      <c r="C120">
        <v>2.05297681596017E-2</v>
      </c>
      <c r="D120">
        <v>1</v>
      </c>
      <c r="E120">
        <v>1</v>
      </c>
    </row>
    <row r="121" spans="1:5" x14ac:dyDescent="0.25">
      <c r="A121">
        <v>270</v>
      </c>
      <c r="B121" t="s">
        <v>271</v>
      </c>
      <c r="C121">
        <v>4.8671719971529999E-3</v>
      </c>
      <c r="D121">
        <v>1</v>
      </c>
      <c r="E121">
        <v>1</v>
      </c>
    </row>
    <row r="122" spans="1:5" x14ac:dyDescent="0.25">
      <c r="A122">
        <v>271</v>
      </c>
      <c r="B122" t="s">
        <v>272</v>
      </c>
      <c r="C122">
        <v>5.6513337631158199E-2</v>
      </c>
      <c r="D122">
        <v>1</v>
      </c>
      <c r="E122">
        <v>1</v>
      </c>
    </row>
    <row r="123" spans="1:5" x14ac:dyDescent="0.25">
      <c r="A123">
        <v>272</v>
      </c>
      <c r="B123" t="s">
        <v>273</v>
      </c>
      <c r="C123">
        <v>-6.3198016168978605E-2</v>
      </c>
      <c r="D123">
        <v>1</v>
      </c>
      <c r="E123">
        <v>1</v>
      </c>
    </row>
    <row r="124" spans="1:5" x14ac:dyDescent="0.25">
      <c r="A124">
        <v>273</v>
      </c>
      <c r="B124" t="s">
        <v>274</v>
      </c>
      <c r="C124">
        <v>-3.2243891282439499E-2</v>
      </c>
      <c r="D124">
        <v>1</v>
      </c>
      <c r="E124">
        <v>1</v>
      </c>
    </row>
    <row r="125" spans="1:5" x14ac:dyDescent="0.25">
      <c r="A125">
        <v>275</v>
      </c>
      <c r="B125" t="s">
        <v>276</v>
      </c>
      <c r="C125">
        <v>-1.3742668460516E-2</v>
      </c>
      <c r="D125">
        <v>1</v>
      </c>
      <c r="E125">
        <v>1</v>
      </c>
    </row>
    <row r="126" spans="1:5" x14ac:dyDescent="0.25">
      <c r="A126">
        <v>277</v>
      </c>
      <c r="B126" t="s">
        <v>278</v>
      </c>
      <c r="C126">
        <v>3.5410720169354301E-2</v>
      </c>
      <c r="D126">
        <v>1</v>
      </c>
      <c r="E126">
        <v>1</v>
      </c>
    </row>
    <row r="127" spans="1:5" x14ac:dyDescent="0.25">
      <c r="A127">
        <v>278</v>
      </c>
      <c r="B127" t="s">
        <v>279</v>
      </c>
      <c r="C127">
        <v>4.35384939247514E-3</v>
      </c>
      <c r="D127">
        <v>1</v>
      </c>
      <c r="E127">
        <v>1</v>
      </c>
    </row>
    <row r="128" spans="1:5" x14ac:dyDescent="0.25">
      <c r="A128">
        <v>279</v>
      </c>
      <c r="B128" t="s">
        <v>280</v>
      </c>
      <c r="C128">
        <v>-7.1106198227128894E-2</v>
      </c>
      <c r="D128">
        <v>1</v>
      </c>
      <c r="E128">
        <v>1</v>
      </c>
    </row>
    <row r="129" spans="1:5" x14ac:dyDescent="0.25">
      <c r="A129">
        <v>282</v>
      </c>
      <c r="B129" t="s">
        <v>283</v>
      </c>
      <c r="C129">
        <v>2.24763397170453E-3</v>
      </c>
      <c r="D129">
        <v>1</v>
      </c>
      <c r="E129">
        <v>1</v>
      </c>
    </row>
    <row r="130" spans="1:5" x14ac:dyDescent="0.25">
      <c r="A130">
        <v>283</v>
      </c>
      <c r="B130" t="s">
        <v>284</v>
      </c>
      <c r="C130">
        <v>-5.5217695669287498E-2</v>
      </c>
      <c r="D130">
        <v>1</v>
      </c>
      <c r="E130">
        <v>1</v>
      </c>
    </row>
    <row r="131" spans="1:5" x14ac:dyDescent="0.25">
      <c r="A131">
        <v>285</v>
      </c>
      <c r="B131" t="s">
        <v>286</v>
      </c>
      <c r="C131">
        <v>-5.0766376904884801E-2</v>
      </c>
      <c r="D131">
        <v>1</v>
      </c>
      <c r="E131">
        <v>1</v>
      </c>
    </row>
    <row r="132" spans="1:5" x14ac:dyDescent="0.25">
      <c r="A132">
        <v>286</v>
      </c>
      <c r="B132" t="s">
        <v>287</v>
      </c>
      <c r="C132">
        <v>-9.9707126184358508E-3</v>
      </c>
      <c r="D132">
        <v>1</v>
      </c>
      <c r="E132">
        <v>1</v>
      </c>
    </row>
    <row r="133" spans="1:5" x14ac:dyDescent="0.25">
      <c r="A133">
        <v>287</v>
      </c>
      <c r="B133" t="s">
        <v>288</v>
      </c>
      <c r="C133">
        <v>2.1281486158177602E-2</v>
      </c>
      <c r="D133">
        <v>1</v>
      </c>
      <c r="E133">
        <v>1</v>
      </c>
    </row>
    <row r="134" spans="1:5" x14ac:dyDescent="0.25">
      <c r="A134">
        <v>288</v>
      </c>
      <c r="B134" t="s">
        <v>289</v>
      </c>
      <c r="C134">
        <v>-2.2767327790877499E-2</v>
      </c>
      <c r="D134">
        <v>1</v>
      </c>
      <c r="E134">
        <v>1</v>
      </c>
    </row>
    <row r="135" spans="1:5" x14ac:dyDescent="0.25">
      <c r="A135">
        <v>290</v>
      </c>
      <c r="B135" t="s">
        <v>291</v>
      </c>
      <c r="C135">
        <v>-6.4144866243738094E-2</v>
      </c>
      <c r="D135">
        <v>1</v>
      </c>
      <c r="E135">
        <v>1</v>
      </c>
    </row>
    <row r="136" spans="1:5" x14ac:dyDescent="0.25">
      <c r="A136">
        <v>291</v>
      </c>
      <c r="B136" t="s">
        <v>292</v>
      </c>
      <c r="C136">
        <v>-0.12880489521733601</v>
      </c>
      <c r="D136">
        <v>1</v>
      </c>
      <c r="E136">
        <v>1</v>
      </c>
    </row>
    <row r="137" spans="1:5" x14ac:dyDescent="0.25">
      <c r="A137">
        <v>292</v>
      </c>
      <c r="B137" t="s">
        <v>293</v>
      </c>
      <c r="C137">
        <v>3.3790209773061797E-2</v>
      </c>
      <c r="D137">
        <v>1</v>
      </c>
      <c r="E137">
        <v>1</v>
      </c>
    </row>
    <row r="138" spans="1:5" x14ac:dyDescent="0.25">
      <c r="A138">
        <v>293</v>
      </c>
      <c r="B138" t="s">
        <v>294</v>
      </c>
      <c r="C138">
        <v>5.3479622451853601E-2</v>
      </c>
      <c r="D138">
        <v>1</v>
      </c>
      <c r="E138">
        <v>1</v>
      </c>
    </row>
    <row r="139" spans="1:5" x14ac:dyDescent="0.25">
      <c r="A139">
        <v>295</v>
      </c>
      <c r="B139" t="s">
        <v>296</v>
      </c>
      <c r="C139">
        <v>4.52311400325087E-2</v>
      </c>
      <c r="D139">
        <v>1</v>
      </c>
      <c r="E139">
        <v>1</v>
      </c>
    </row>
    <row r="140" spans="1:5" x14ac:dyDescent="0.25">
      <c r="A140">
        <v>296</v>
      </c>
      <c r="B140" t="s">
        <v>297</v>
      </c>
      <c r="C140">
        <v>-5.7128817544881798E-2</v>
      </c>
      <c r="D140">
        <v>1</v>
      </c>
      <c r="E140">
        <v>1</v>
      </c>
    </row>
    <row r="141" spans="1:5" x14ac:dyDescent="0.25">
      <c r="A141">
        <v>297</v>
      </c>
      <c r="B141" t="s">
        <v>298</v>
      </c>
      <c r="C141">
        <v>1.23110881057855E-2</v>
      </c>
      <c r="D141">
        <v>1</v>
      </c>
      <c r="E141">
        <v>1</v>
      </c>
    </row>
    <row r="142" spans="1:5" x14ac:dyDescent="0.25">
      <c r="A142">
        <v>300</v>
      </c>
      <c r="B142" t="s">
        <v>301</v>
      </c>
      <c r="C142">
        <v>0.10549468878685</v>
      </c>
      <c r="D142">
        <v>1</v>
      </c>
      <c r="E1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Computations</vt:lpstr>
      <vt:lpstr>Signal-1</vt:lpstr>
      <vt:lpstr>Signal1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Aguilar</dc:creator>
  <cp:lastModifiedBy>Mike Aguilar</cp:lastModifiedBy>
  <dcterms:created xsi:type="dcterms:W3CDTF">2026-01-20T13:01:59Z</dcterms:created>
  <dcterms:modified xsi:type="dcterms:W3CDTF">2026-01-20T16:16:48Z</dcterms:modified>
</cp:coreProperties>
</file>